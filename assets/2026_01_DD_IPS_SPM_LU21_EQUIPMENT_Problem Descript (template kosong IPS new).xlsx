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Asus\Documents\Program\Python\ips\"/>
    </mc:Choice>
  </mc:AlternateContent>
  <xr:revisionPtr revIDLastSave="0" documentId="13_ncr:1_{DBE224E0-350B-4AD1-B61B-363C58813515}" xr6:coauthVersionLast="47" xr6:coauthVersionMax="47" xr10:uidLastSave="{00000000-0000-0000-0000-000000000000}"/>
  <bookViews>
    <workbookView xWindow="-110" yWindow="-110" windowWidth="19420" windowHeight="11500" xr2:uid="{00000000-000D-0000-FFFF-FFFF00000000}"/>
  </bookViews>
  <sheets>
    <sheet name="IPS V4.1" sheetId="3" r:id="rId1"/>
    <sheet name="BCC List" sheetId="5" r:id="rId2"/>
    <sheet name="Extraction" sheetId="4" r:id="rId3"/>
    <sheet name="LE Champion Tracking" sheetId="8" r:id="rId4"/>
    <sheet name="Cost Impact Calculator" sheetId="6" state="hidden" r:id="rId5"/>
  </sheets>
  <externalReferences>
    <externalReference r:id="rId6"/>
    <externalReference r:id="rId7"/>
    <externalReference r:id="rId8"/>
    <externalReference r:id="rId9"/>
  </externalReferences>
  <definedNames>
    <definedName name="_xlnm._FilterDatabase" localSheetId="1" hidden="1">'BCC List'!$I$5:$J$45</definedName>
    <definedName name="_Pic710">#N/A</definedName>
    <definedName name="_Pic810">#N/A</definedName>
    <definedName name="_Pic910">#N/A</definedName>
    <definedName name="a" localSheetId="0">[1]Input!#REF!</definedName>
    <definedName name="a" localSheetId="3">[1]Input!#REF!</definedName>
    <definedName name="a">[1]Input!#REF!</definedName>
    <definedName name="CEWS1" localSheetId="0">#REF!</definedName>
    <definedName name="CEWS1" localSheetId="3">#REF!</definedName>
    <definedName name="CEWS1">#REF!</definedName>
    <definedName name="CEWS10" localSheetId="0">#REF!</definedName>
    <definedName name="CEWS10">#REF!</definedName>
    <definedName name="CEWS11" localSheetId="0">#REF!</definedName>
    <definedName name="CEWS11">#REF!</definedName>
    <definedName name="CEWS12" localSheetId="0">#REF!</definedName>
    <definedName name="CEWS12">#REF!</definedName>
    <definedName name="CEWS13" localSheetId="0">#REF!</definedName>
    <definedName name="CEWS13">#REF!</definedName>
    <definedName name="CEWS14" localSheetId="0">#REF!</definedName>
    <definedName name="CEWS14">#REF!</definedName>
    <definedName name="CEWS15" localSheetId="0">#REF!</definedName>
    <definedName name="CEWS15">#REF!</definedName>
    <definedName name="CEWS2" localSheetId="0">#REF!</definedName>
    <definedName name="CEWS2">#REF!</definedName>
    <definedName name="CEWS3" localSheetId="0">#REF!</definedName>
    <definedName name="CEWS3">#REF!</definedName>
    <definedName name="CEWS4" localSheetId="0">#REF!</definedName>
    <definedName name="CEWS4">#REF!</definedName>
    <definedName name="CEWS5" localSheetId="0">#REF!</definedName>
    <definedName name="CEWS5">#REF!</definedName>
    <definedName name="CEWS6" localSheetId="0">#REF!</definedName>
    <definedName name="CEWS6">#REF!</definedName>
    <definedName name="CEWS7" localSheetId="0">#REF!</definedName>
    <definedName name="CEWS7">#REF!</definedName>
    <definedName name="CEWS8" localSheetId="0">#REF!</definedName>
    <definedName name="CEWS8">#REF!</definedName>
    <definedName name="CEWS9" localSheetId="0">#REF!</definedName>
    <definedName name="CEWS9">#REF!</definedName>
    <definedName name="CEWSH1" localSheetId="0">#REF!</definedName>
    <definedName name="CEWSH1">#REF!</definedName>
    <definedName name="CEWSH2" localSheetId="0">#REF!</definedName>
    <definedName name="CEWSH2">#REF!</definedName>
    <definedName name="CEWSH3" localSheetId="0">#REF!</definedName>
    <definedName name="CEWSH3">#REF!</definedName>
    <definedName name="CEWSH4" localSheetId="0">#REF!</definedName>
    <definedName name="CEWSH4">#REF!</definedName>
    <definedName name="CEWSH5" localSheetId="0">#REF!</definedName>
    <definedName name="CEWSH5">#REF!</definedName>
    <definedName name="CEWSMA1" localSheetId="0">#REF!</definedName>
    <definedName name="CEWSMA1">#REF!</definedName>
    <definedName name="CEWSMA2" localSheetId="0">#REF!</definedName>
    <definedName name="CEWSMA2">#REF!</definedName>
    <definedName name="CEWSMA3" localSheetId="0">#REF!</definedName>
    <definedName name="CEWSMA3">#REF!</definedName>
    <definedName name="CEWSMA4" localSheetId="0">#REF!</definedName>
    <definedName name="CEWSMA4">#REF!</definedName>
    <definedName name="CEWSMA5" localSheetId="0">#REF!</definedName>
    <definedName name="CEWSMA5">#REF!</definedName>
    <definedName name="CEWSME1" localSheetId="0">#REF!</definedName>
    <definedName name="CEWSME1">#REF!</definedName>
    <definedName name="CEWSME2" localSheetId="0">#REF!</definedName>
    <definedName name="CEWSME2">#REF!</definedName>
    <definedName name="CEWSME3" localSheetId="0">#REF!</definedName>
    <definedName name="CEWSME3">#REF!</definedName>
    <definedName name="CEWSME4" localSheetId="0">#REF!</definedName>
    <definedName name="CEWSME4">#REF!</definedName>
    <definedName name="CEWSME5" localSheetId="0">#REF!</definedName>
    <definedName name="CEWSME5">#REF!</definedName>
    <definedName name="currentstateexample">"Object 1"</definedName>
    <definedName name="d" localSheetId="0">[1]Input!#REF!</definedName>
    <definedName name="d" localSheetId="3">[1]Input!#REF!</definedName>
    <definedName name="d">[1]Input!#REF!</definedName>
    <definedName name="e" localSheetId="0">[1]Input!#REF!</definedName>
    <definedName name="e" localSheetId="3">[1]Input!#REF!</definedName>
    <definedName name="e">[1]Input!#REF!</definedName>
    <definedName name="e1clarified" localSheetId="0">'[2]Cause Entry'!#REF!</definedName>
    <definedName name="e1clarified">'[2]Cause Entry'!#REF!</definedName>
    <definedName name="e2clarified">'[2]Cause Entry'!$E$14</definedName>
    <definedName name="e3clarified">'[2]Cause Entry'!$E$16</definedName>
    <definedName name="e4clarified">'[2]Cause Entry'!$E$16</definedName>
    <definedName name="e5clarified">'[2]Cause Entry'!$E$16</definedName>
    <definedName name="h" localSheetId="0">[1]Input!#REF!</definedName>
    <definedName name="h" localSheetId="3">[1]Input!#REF!</definedName>
    <definedName name="h">[1]Input!#REF!</definedName>
    <definedName name="Jhsdf" localSheetId="0">[1]Input!#REF!</definedName>
    <definedName name="Jhsdf" localSheetId="3">[1]Input!#REF!</definedName>
    <definedName name="Jhsdf">[1]Input!#REF!</definedName>
    <definedName name="ownerlist">[3]!owner[Owner]</definedName>
    <definedName name="Phenom">'[4]Phenomena Clarification Guide'!$B$24</definedName>
    <definedName name="_xlnm.Print_Area" localSheetId="1">'BCC List'!$A$1:$J$49</definedName>
    <definedName name="_xlnm.Print_Area" localSheetId="0">'IPS V4.1'!$A$1:$AB$154</definedName>
    <definedName name="wewwe" localSheetId="0">[1]Input!#REF!</definedName>
    <definedName name="wewwe" localSheetId="3">[1]Input!#REF!</definedName>
    <definedName name="wewwe">[1]Input!#REF!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6" l="1"/>
  <c r="A28" i="6"/>
  <c r="B31" i="6" s="1"/>
  <c r="G26" i="6"/>
  <c r="G25" i="6"/>
  <c r="G24" i="6"/>
  <c r="G23" i="6"/>
  <c r="G22" i="6"/>
  <c r="G21" i="6"/>
  <c r="G20" i="6"/>
  <c r="G19" i="6"/>
  <c r="G18" i="6"/>
  <c r="G17" i="6"/>
  <c r="G16" i="6"/>
  <c r="G15" i="6"/>
  <c r="G14" i="6"/>
  <c r="G13" i="6"/>
  <c r="G12" i="6"/>
  <c r="G11" i="6"/>
  <c r="G10" i="6"/>
  <c r="G9" i="6"/>
  <c r="G8" i="6"/>
  <c r="G7" i="6"/>
  <c r="G6" i="6"/>
  <c r="G5" i="6"/>
  <c r="G4" i="6"/>
  <c r="E6" i="8"/>
  <c r="U4" i="4"/>
  <c r="T4" i="4"/>
  <c r="S4" i="4"/>
  <c r="R4" i="4"/>
  <c r="Q4" i="4"/>
  <c r="P4" i="4"/>
  <c r="O4" i="4"/>
  <c r="N4" i="4"/>
  <c r="M4" i="4"/>
  <c r="L4" i="4"/>
  <c r="K4" i="4"/>
  <c r="J4" i="4"/>
  <c r="I4" i="4"/>
  <c r="G4" i="4"/>
  <c r="F4" i="4"/>
  <c r="E4" i="4"/>
  <c r="D4" i="4"/>
  <c r="M49" i="5" a="1"/>
  <c r="M49" i="5" s="1"/>
  <c r="L49" i="5" a="1"/>
  <c r="L49" i="5" s="1"/>
  <c r="N49" i="5" s="1"/>
  <c r="M48" i="5" a="1"/>
  <c r="M48" i="5" s="1"/>
  <c r="L48" i="5" a="1"/>
  <c r="L48" i="5" s="1"/>
  <c r="N48" i="5" s="1"/>
  <c r="M47" i="5" a="1"/>
  <c r="M47" i="5" s="1"/>
  <c r="L47" i="5" a="1"/>
  <c r="L47" i="5" s="1"/>
  <c r="N47" i="5" s="1"/>
  <c r="M46" i="5" a="1"/>
  <c r="M46" i="5" s="1"/>
  <c r="L46" i="5" a="1"/>
  <c r="L46" i="5" s="1"/>
  <c r="N46" i="5" s="1"/>
  <c r="M45" i="5" a="1"/>
  <c r="M45" i="5" s="1"/>
  <c r="L45" i="5" a="1"/>
  <c r="L45" i="5" s="1"/>
  <c r="N45" i="5" s="1"/>
  <c r="M44" i="5" a="1"/>
  <c r="M44" i="5" s="1"/>
  <c r="L44" i="5" a="1"/>
  <c r="L44" i="5" s="1"/>
  <c r="N44" i="5" s="1"/>
  <c r="M43" i="5" a="1"/>
  <c r="M43" i="5" s="1"/>
  <c r="L43" i="5" a="1"/>
  <c r="L43" i="5" s="1"/>
  <c r="N43" i="5" s="1"/>
  <c r="M42" i="5" a="1"/>
  <c r="M42" i="5" s="1"/>
  <c r="L42" i="5" a="1"/>
  <c r="L42" i="5" s="1"/>
  <c r="N42" i="5" s="1"/>
  <c r="M41" i="5" a="1"/>
  <c r="M41" i="5" s="1"/>
  <c r="L41" i="5" a="1"/>
  <c r="L41" i="5" s="1"/>
  <c r="N41" i="5" s="1"/>
  <c r="M40" i="5" a="1"/>
  <c r="M40" i="5" s="1"/>
  <c r="L40" i="5" a="1"/>
  <c r="L40" i="5" s="1"/>
  <c r="N40" i="5" s="1"/>
  <c r="M39" i="5" a="1"/>
  <c r="M39" i="5" s="1"/>
  <c r="L39" i="5" a="1"/>
  <c r="L39" i="5" s="1"/>
  <c r="N39" i="5" s="1"/>
  <c r="M38" i="5" a="1"/>
  <c r="M38" i="5" s="1"/>
  <c r="L38" i="5" a="1"/>
  <c r="L38" i="5" s="1"/>
  <c r="N38" i="5" s="1"/>
  <c r="M37" i="5" a="1"/>
  <c r="M37" i="5" s="1"/>
  <c r="L37" i="5" a="1"/>
  <c r="L37" i="5" s="1"/>
  <c r="N37" i="5" s="1"/>
  <c r="M36" i="5" a="1"/>
  <c r="M36" i="5" s="1"/>
  <c r="L36" i="5" a="1"/>
  <c r="L36" i="5" s="1"/>
  <c r="N36" i="5" s="1"/>
  <c r="M35" i="5" a="1"/>
  <c r="M35" i="5" s="1"/>
  <c r="L35" i="5" a="1"/>
  <c r="L35" i="5" s="1"/>
  <c r="N35" i="5" s="1"/>
  <c r="M34" i="5" a="1"/>
  <c r="M34" i="5" s="1"/>
  <c r="L34" i="5" a="1"/>
  <c r="L34" i="5" s="1"/>
  <c r="N34" i="5" s="1"/>
  <c r="M33" i="5" a="1"/>
  <c r="M33" i="5" s="1"/>
  <c r="L33" i="5" a="1"/>
  <c r="L33" i="5" s="1"/>
  <c r="N33" i="5" s="1"/>
  <c r="M32" i="5" a="1"/>
  <c r="M32" i="5" s="1"/>
  <c r="L32" i="5" a="1"/>
  <c r="L32" i="5" s="1"/>
  <c r="N32" i="5" s="1"/>
  <c r="M31" i="5" a="1"/>
  <c r="M31" i="5" s="1"/>
  <c r="L31" i="5" a="1"/>
  <c r="L31" i="5" s="1"/>
  <c r="N31" i="5" s="1"/>
  <c r="M30" i="5" a="1"/>
  <c r="M30" i="5" s="1"/>
  <c r="L30" i="5" a="1"/>
  <c r="L30" i="5" s="1"/>
  <c r="N30" i="5" s="1"/>
  <c r="M29" i="5" a="1"/>
  <c r="M29" i="5" s="1"/>
  <c r="L29" i="5" a="1"/>
  <c r="L29" i="5" s="1"/>
  <c r="N29" i="5" s="1"/>
  <c r="M28" i="5" a="1"/>
  <c r="M28" i="5" s="1"/>
  <c r="L28" i="5" a="1"/>
  <c r="L28" i="5" s="1"/>
  <c r="N28" i="5" s="1"/>
  <c r="M27" i="5" a="1"/>
  <c r="M27" i="5" s="1"/>
  <c r="L27" i="5" a="1"/>
  <c r="L27" i="5" s="1"/>
  <c r="N27" i="5" s="1"/>
  <c r="M26" i="5" a="1"/>
  <c r="M26" i="5" s="1"/>
  <c r="L26" i="5" a="1"/>
  <c r="L26" i="5" s="1"/>
  <c r="N26" i="5" s="1"/>
  <c r="M25" i="5" a="1"/>
  <c r="M25" i="5" s="1"/>
  <c r="L25" i="5" a="1"/>
  <c r="L25" i="5" s="1"/>
  <c r="N25" i="5" s="1"/>
  <c r="M24" i="5" a="1"/>
  <c r="M24" i="5" s="1"/>
  <c r="L24" i="5" a="1"/>
  <c r="L24" i="5" s="1"/>
  <c r="N24" i="5" s="1"/>
  <c r="M23" i="5" a="1"/>
  <c r="M23" i="5" s="1"/>
  <c r="L23" i="5" a="1"/>
  <c r="L23" i="5" s="1"/>
  <c r="N23" i="5" s="1"/>
  <c r="M22" i="5" a="1"/>
  <c r="M22" i="5" s="1"/>
  <c r="L22" i="5" a="1"/>
  <c r="L22" i="5" s="1"/>
  <c r="N22" i="5" s="1"/>
  <c r="M21" i="5" a="1"/>
  <c r="M21" i="5" s="1"/>
  <c r="L21" i="5" a="1"/>
  <c r="L21" i="5" s="1"/>
  <c r="N21" i="5" s="1"/>
  <c r="M20" i="5" a="1"/>
  <c r="M20" i="5" s="1"/>
  <c r="L20" i="5" a="1"/>
  <c r="L20" i="5" s="1"/>
  <c r="N20" i="5" s="1"/>
  <c r="M19" i="5" a="1"/>
  <c r="M19" i="5" s="1"/>
  <c r="L19" i="5" a="1"/>
  <c r="L19" i="5" s="1"/>
  <c r="N19" i="5" s="1"/>
  <c r="M18" i="5" a="1"/>
  <c r="M18" i="5" s="1"/>
  <c r="L18" i="5" a="1"/>
  <c r="L18" i="5" s="1"/>
  <c r="N18" i="5" s="1"/>
  <c r="M17" i="5" a="1"/>
  <c r="M17" i="5" s="1"/>
  <c r="L17" i="5" a="1"/>
  <c r="L17" i="5" s="1"/>
  <c r="N17" i="5" s="1"/>
  <c r="M16" i="5" a="1"/>
  <c r="M16" i="5" s="1"/>
  <c r="L16" i="5" a="1"/>
  <c r="L16" i="5" s="1"/>
  <c r="N16" i="5" s="1"/>
  <c r="M15" i="5" a="1"/>
  <c r="M15" i="5" s="1"/>
  <c r="L15" i="5" a="1"/>
  <c r="L15" i="5" s="1"/>
  <c r="N15" i="5" s="1"/>
  <c r="M14" i="5" a="1"/>
  <c r="M14" i="5" s="1"/>
  <c r="L14" i="5" a="1"/>
  <c r="L14" i="5" s="1"/>
  <c r="N14" i="5" s="1"/>
  <c r="L13" i="5" a="1"/>
  <c r="L13" i="5" s="1"/>
  <c r="L12" i="5" a="1"/>
  <c r="L12" i="5" s="1"/>
  <c r="L11" i="5" a="1"/>
  <c r="L11" i="5" s="1"/>
  <c r="L10" i="5" a="1"/>
  <c r="L10" i="5" s="1"/>
  <c r="L9" i="5" a="1"/>
  <c r="L9" i="5" s="1"/>
  <c r="L8" i="5" a="1"/>
  <c r="L8" i="5" s="1"/>
  <c r="L7" i="5" a="1"/>
  <c r="L7" i="5" s="1"/>
  <c r="M6" i="5" a="1"/>
  <c r="M6" i="5" s="1"/>
  <c r="L6" i="5" a="1"/>
  <c r="L6" i="5" s="1"/>
  <c r="N6" i="5" s="1"/>
  <c r="M5" i="5" a="1"/>
  <c r="M5" i="5" s="1"/>
  <c r="L5" i="5" a="1"/>
  <c r="L5" i="5" s="1"/>
  <c r="N5" i="5" s="1"/>
  <c r="M4" i="5" a="1"/>
  <c r="M4" i="5" s="1"/>
  <c r="L4" i="5" a="1"/>
  <c r="L4" i="5" s="1"/>
  <c r="N4" i="5" s="1"/>
  <c r="M3" i="5" a="1"/>
  <c r="M3" i="5" s="1"/>
  <c r="L3" i="5" a="1"/>
  <c r="L3" i="5" s="1"/>
  <c r="N3" i="5" s="1"/>
  <c r="M2" i="5" a="1"/>
  <c r="M2" i="5" s="1"/>
  <c r="L2" i="5" a="1"/>
  <c r="L2" i="5" s="1"/>
  <c r="N2" i="5" s="1"/>
  <c r="BG133" i="3"/>
  <c r="BF133" i="3"/>
  <c r="AE133" i="3"/>
  <c r="AF133" i="3" s="1"/>
  <c r="AD133" i="3"/>
  <c r="BG124" i="3"/>
  <c r="BF124" i="3"/>
  <c r="AE124" i="3"/>
  <c r="AF124" i="3" s="1"/>
  <c r="AD124" i="3"/>
  <c r="BG115" i="3"/>
  <c r="BF115" i="3"/>
  <c r="AE115" i="3"/>
  <c r="AF115" i="3" s="1"/>
  <c r="AD115" i="3"/>
  <c r="BG106" i="3"/>
  <c r="BF106" i="3"/>
  <c r="AE106" i="3"/>
  <c r="AF106" i="3" s="1"/>
  <c r="AD106" i="3"/>
  <c r="BG97" i="3"/>
  <c r="BF97" i="3"/>
  <c r="AE97" i="3"/>
  <c r="AF97" i="3" s="1"/>
  <c r="AD97" i="3"/>
  <c r="BG88" i="3"/>
  <c r="BF88" i="3"/>
  <c r="AH88" i="3"/>
  <c r="AE88" i="3"/>
  <c r="AF88" i="3" s="1"/>
  <c r="C14" i="3"/>
  <c r="B29" i="6" s="1"/>
  <c r="Y150" i="3" s="1"/>
  <c r="AM88" i="3" l="1"/>
  <c r="V4" i="4" s="1"/>
  <c r="BH88" i="3"/>
  <c r="X4" i="4" s="1"/>
  <c r="B28" i="6"/>
  <c r="Y148" i="3" s="1"/>
  <c r="H4" i="4"/>
  <c r="O15" i="5"/>
  <c r="O19" i="5"/>
  <c r="O23" i="5"/>
  <c r="O27" i="5"/>
  <c r="O31" i="5"/>
  <c r="O35" i="5"/>
  <c r="O39" i="5"/>
  <c r="O43" i="5"/>
  <c r="O47" i="5"/>
  <c r="O16" i="5"/>
  <c r="O20" i="5"/>
  <c r="O24" i="5"/>
  <c r="O28" i="5"/>
  <c r="O32" i="5"/>
  <c r="O36" i="5"/>
  <c r="O40" i="5"/>
  <c r="O44" i="5"/>
  <c r="O48" i="5"/>
  <c r="O14" i="5"/>
  <c r="O18" i="5"/>
  <c r="O22" i="5"/>
  <c r="O26" i="5"/>
  <c r="O30" i="5"/>
  <c r="O34" i="5"/>
  <c r="O38" i="5"/>
  <c r="O42" i="5"/>
  <c r="O46" i="5"/>
  <c r="O2" i="5"/>
  <c r="O6" i="5"/>
  <c r="O3" i="5"/>
  <c r="O4" i="5"/>
  <c r="O5" i="5"/>
  <c r="O17" i="5"/>
  <c r="O21" i="5"/>
  <c r="O25" i="5"/>
  <c r="O29" i="5"/>
  <c r="O33" i="5"/>
  <c r="O37" i="5"/>
  <c r="O41" i="5"/>
  <c r="O45" i="5"/>
  <c r="O49" i="5"/>
  <c r="Y4" i="4" l="1"/>
  <c r="Q2" i="5"/>
  <c r="W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tc={0F4E3E81-6F39-40CD-AB46-2359F976ACFE}</author>
    <author>tc={0319AB75-DC58-4EB1-9390-1F8B1C526DE1}</author>
    <author>tc={4D0902F8-05EF-4579-8CB9-EFF7611EE381}</author>
    <author>tc={AA560B20-2D90-4691-A4F1-532DEA676070}</author>
    <author>tc={FBF783D9-13A4-4256-95B4-8E6AF91A7C4B}</author>
    <author>tc={9A8FB9AA-C808-467C-BA7B-230E406E3701}</author>
    <author>tc={99B14340-28FE-47B9-AD53-62E036C3DCFF}</author>
    <author>tc={63480C89-413A-4C99-85DB-F8A5BE6A22A1}</author>
    <author>tc={8358B8CB-8184-4488-836C-914D87AE59A6}</author>
    <author>tc={426CB91C-289B-4658-BAF6-81DEB422AB24}</author>
    <author>tc={A27AF422-6038-4B75-BDE9-C0D37F44C60D}</author>
    <author>tc={9E4B4221-F775-47A0-8CFE-045CF4E436D0}</author>
    <author>tc={6913997E-C281-4B71-8C13-D62C81A563D4}</author>
    <author>tc={D2264655-2851-4838-AAF2-9C606C828F35}</author>
    <author>tc={74AE3846-3CF3-4FDA-A373-2C72E624C30F}</author>
    <author>tc={D08149B9-2040-4862-B78C-1EB18993B819}</author>
    <author>tc={DF2472BD-6364-42C8-8E14-7B0B7F19C3C6}</author>
    <author>tc={BF8E9B19-CC7E-4B2E-9380-6F7B52ABC990}</author>
    <author>tc={A4854C7A-D368-41BF-8098-B979D66BE97F}</author>
    <author>tc={A514D0A7-FCCD-4946-8253-342FF369FA17}</author>
    <author>tc={8D62BF3C-704C-434D-A003-E6BBCBF2BD08}</author>
    <author>tc={5604DC4B-B5BD-46AB-95F3-6FA543468CC0}</author>
    <author>tc={35B35A2E-EBAD-4067-ABC5-67FF77A7EAE6}</author>
    <author>tc={E4F1AE30-BFB0-4F6C-959E-93965C838258}</author>
    <author>tc={83C5C36E-543C-446B-B330-426FA8FA3101}</author>
    <author>tc={7FACBE0B-04DE-41F2-8960-5A508D45D660}</author>
    <author>tc={65DE881D-D250-4957-BE66-22A264DF711B}</author>
    <author>tc={8C89FB9C-3A5A-4E05-B0A3-C232FEAD07B8}</author>
    <author>tc={FF62B7B7-A2D7-488F-8B4B-35FA53CCC570}</author>
    <author>tc={9E945B84-C5BF-469F-BE32-240572531707}</author>
    <author>tc={C39BF7CC-985C-4343-B919-D223EF57EF6B}</author>
    <author>tc={F9424DFC-30EB-4C6F-B306-E98960293970}</author>
    <author>tc={786CE2E4-E020-4FEC-A746-D6E10CF29C9B}</author>
    <author>tc={CA733A49-7C94-47B3-A8DB-F3703A8EF1E7}</author>
    <author>tc={3872A026-A185-4F88-884E-4C1FDB20B599}</author>
    <author>tc={366B0F4A-253F-49C9-99A3-03F4C3DDA49B}</author>
    <author>tc={0C46A35A-13EA-42C4-97C4-C3462327B33A}</author>
    <author>tc={CC6430D6-9181-4FE2-964F-BF1EA37B0041}</author>
    <author>tc={DEAC0EF3-2DFF-45F1-845A-E746E23454FF}</author>
    <author>tc={5BC981C2-A98A-486C-87DE-B4DDE9263C0E}</author>
    <author>tc={09E5C619-622C-4002-88A0-A60F28009728}</author>
  </authors>
  <commentList>
    <comment ref="P8" authorId="0" shapeId="0" xr:uid="{00000000-0006-0000-00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Short Date
Reply:
    Contoh : 1/31/23</t>
        </r>
      </text>
    </comment>
    <comment ref="X14" authorId="1" shapeId="0" xr:uid="{00000000-0006-0000-0000-000002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Isi dengan ID Karyawan LE champion yang bertugas mereview IPS
</t>
        </r>
      </text>
    </comment>
    <comment ref="B19" authorId="2" shapeId="0" xr:uid="{00000000-0006-0000-0000-00000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Message Stop/Loss Sesuai SPA/HMI
Reply:
    All Capital</t>
        </r>
      </text>
    </comment>
    <comment ref="P19" authorId="3" shapeId="0" xr:uid="{00000000-0006-0000-0000-000004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Evidence/Failure Mode</t>
        </r>
      </text>
    </comment>
    <comment ref="C66" authorId="4" shapeId="0" xr:uid="{00000000-0006-0000-0000-00000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6" authorId="5" shapeId="0" xr:uid="{00000000-0006-0000-0000-00000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6" authorId="6" shapeId="0" xr:uid="{00000000-0006-0000-0000-00000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6" authorId="7" shapeId="0" xr:uid="{00000000-0006-0000-0000-000008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6" authorId="8" shapeId="0" xr:uid="{00000000-0006-0000-0000-00000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67" authorId="9" shapeId="0" xr:uid="{00000000-0006-0000-0000-00000A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68" authorId="10" shapeId="0" xr:uid="{00000000-0006-0000-0000-00000B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8" authorId="11" shapeId="0" xr:uid="{00000000-0006-0000-0000-00000C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8" authorId="12" shapeId="0" xr:uid="{00000000-0006-0000-0000-00000D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8" authorId="13" shapeId="0" xr:uid="{00000000-0006-0000-0000-00000E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8" authorId="14" shapeId="0" xr:uid="{00000000-0006-0000-0000-00000F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0" authorId="15" shapeId="0" xr:uid="{00000000-0006-0000-0000-000010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0" authorId="16" shapeId="0" xr:uid="{00000000-0006-0000-0000-00001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0" authorId="17" shapeId="0" xr:uid="{00000000-0006-0000-0000-00001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0" authorId="18" shapeId="0" xr:uid="{00000000-0006-0000-0000-00001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0" authorId="19" shapeId="0" xr:uid="{00000000-0006-0000-0000-000014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71" authorId="20" shapeId="0" xr:uid="{00000000-0006-0000-0000-00001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2" authorId="21" shapeId="0" xr:uid="{00000000-0006-0000-0000-00001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2" authorId="22" shapeId="0" xr:uid="{00000000-0006-0000-0000-00001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2" authorId="23" shapeId="0" xr:uid="{00000000-0006-0000-0000-000018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2" authorId="24" shapeId="0" xr:uid="{00000000-0006-0000-0000-00001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2" authorId="25" shapeId="0" xr:uid="{00000000-0006-0000-0000-00001A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4" authorId="26" shapeId="0" xr:uid="{00000000-0006-0000-0000-00001B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4" authorId="27" shapeId="0" xr:uid="{00000000-0006-0000-0000-00001C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4" authorId="28" shapeId="0" xr:uid="{00000000-0006-0000-0000-00001D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4" authorId="29" shapeId="0" xr:uid="{00000000-0006-0000-0000-00001E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4" authorId="30" shapeId="0" xr:uid="{00000000-0006-0000-0000-00001F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6" authorId="31" shapeId="0" xr:uid="{00000000-0006-0000-0000-000020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6" authorId="32" shapeId="0" xr:uid="{00000000-0006-0000-0000-00002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6" authorId="33" shapeId="0" xr:uid="{00000000-0006-0000-0000-00002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6" authorId="34" shapeId="0" xr:uid="{00000000-0006-0000-0000-00002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8" authorId="35" shapeId="0" xr:uid="{00000000-0006-0000-0000-000024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8" authorId="36" shapeId="0" xr:uid="{00000000-0006-0000-0000-00002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8" authorId="37" shapeId="0" xr:uid="{00000000-0006-0000-0000-00002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8" authorId="38" shapeId="0" xr:uid="{00000000-0006-0000-0000-00002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Y148" authorId="39" shapeId="0" xr:uid="{00000000-0006-0000-0000-000028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Kalau berhubungan dengan Delivery &amp; Cost : Input loss Reduction di Column X148</t>
        </r>
      </text>
    </comment>
    <comment ref="X152" authorId="40" shapeId="0" xr:uid="{00000000-0006-0000-0000-00002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sesuai perhitungan team QA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<sst xmlns="http://schemas.openxmlformats.org/spreadsheetml/2006/main" count="197" uniqueCount="145">
  <si>
    <t>Initial Problem Solving (IPS)</t>
  </si>
  <si>
    <r>
      <t xml:space="preserve">1.1. </t>
    </r>
    <r>
      <rPr>
        <b/>
        <sz val="14"/>
        <color rgb="FFFFFF00"/>
        <rFont val="Calibri"/>
        <family val="2"/>
        <scheme val="minor"/>
      </rPr>
      <t>Initiate IPS:</t>
    </r>
    <r>
      <rPr>
        <b/>
        <sz val="14"/>
        <color theme="0"/>
        <rFont val="Calibri"/>
        <family val="2"/>
        <scheme val="minor"/>
      </rPr>
      <t xml:space="preserve"> Lakukan IPS jika terjadi losses besar/berulang atau salah satu pemicu berikut terpenuhi dan penyebab langsungnya tidak diketahui (Pemicu harus ditentukan secara lokal dan diikuti)</t>
    </r>
  </si>
  <si>
    <t>Insiden Kualitas?</t>
  </si>
  <si>
    <t>Line:</t>
  </si>
  <si>
    <t>LU11-ID02</t>
  </si>
  <si>
    <t>IPS ID:</t>
  </si>
  <si>
    <t>Stop berulang dalam satu shift  (e.g. &gt;20 times/shift, process failure &gt;20 min)?</t>
  </si>
  <si>
    <t>Date:</t>
  </si>
  <si>
    <t>C</t>
  </si>
  <si>
    <t xml:space="preserve">Waste atau Reject berulang dalam satu shift? atau Tren waste meningkat? </t>
  </si>
  <si>
    <t>Sporadic losses lainnya: ___________________________________________</t>
  </si>
  <si>
    <t>Technology</t>
  </si>
  <si>
    <t>Note: Untuk isu terkait EHS, harus menggunakan IPS EHS</t>
  </si>
  <si>
    <t>INITIAL PROBLEM STATEMENT</t>
  </si>
  <si>
    <t>Evidence/Failure Mode</t>
  </si>
  <si>
    <r>
      <t xml:space="preserve">1.2. </t>
    </r>
    <r>
      <rPr>
        <b/>
        <sz val="14"/>
        <color rgb="FFFFFF00"/>
        <rFont val="Calibri"/>
        <family val="2"/>
        <scheme val="minor"/>
      </rPr>
      <t>Refocus the Problem:</t>
    </r>
    <r>
      <rPr>
        <b/>
        <sz val="14"/>
        <color theme="2"/>
        <rFont val="Calibri"/>
        <family val="2"/>
        <scheme val="minor"/>
      </rPr>
      <t xml:space="preserve"> </t>
    </r>
    <r>
      <rPr>
        <b/>
        <sz val="14"/>
        <color theme="0"/>
        <rFont val="Calibri"/>
        <family val="2"/>
        <scheme val="minor"/>
      </rPr>
      <t>Selesaikan 6W2H untuk memfokuskan kembali masalah, berdasarkan apa yang sebenarnya diamati, bukan apa yang Anda duga terjadi.</t>
    </r>
  </si>
  <si>
    <t>1. What?</t>
  </si>
  <si>
    <r>
      <rPr>
        <b/>
        <sz val="12"/>
        <rFont val="Calibri"/>
        <family val="2"/>
      </rPr>
      <t xml:space="preserve">Apa yang terjadi? Apa Fenomena yang di observasi?
</t>
    </r>
    <r>
      <rPr>
        <sz val="12"/>
        <rFont val="Calibri"/>
        <family val="2"/>
        <charset val="204"/>
      </rPr>
      <t>Jelaskan yang terjadi secara akurat sesuai yang dilihat (Bukan yang seharusnya terjadi)</t>
    </r>
  </si>
  <si>
    <t>2. Where?</t>
  </si>
  <si>
    <t>Gambar (Jika Mungkin) Fenomena yang di observasi (Kondisi Saat Ini) dan Kondisi ideal ditempat masalah terjadi</t>
  </si>
  <si>
    <t>3.  To Whom?</t>
  </si>
  <si>
    <t>4.  How?</t>
  </si>
  <si>
    <t>5.  Which?</t>
  </si>
  <si>
    <t>6.  When?</t>
  </si>
  <si>
    <t>7.  Who?</t>
  </si>
  <si>
    <t>8.  How Much?</t>
  </si>
  <si>
    <t>NEW REFOCUSED PROBLEM STATEMENT 
Sekarang jelaskan se-detail mungkin masalah berdasarkan observasi lewat 6W2H (Apa yang terjadi secara fisik/ atau harusnya tidak terjadi) dan Periksa apa ada trouble shooting guide yang spesifik dengan masalah yang terjadi</t>
  </si>
  <si>
    <r>
      <rPr>
        <b/>
        <sz val="14"/>
        <color rgb="FFFFFFFF"/>
        <rFont val="Calibri"/>
        <family val="2"/>
        <scheme val="minor"/>
      </rPr>
      <t xml:space="preserve">1.4. </t>
    </r>
    <r>
      <rPr>
        <b/>
        <sz val="14"/>
        <color rgb="FFFFFF00"/>
        <rFont val="Calibri"/>
        <family val="2"/>
        <scheme val="minor"/>
      </rPr>
      <t>Restore Base Condition</t>
    </r>
    <r>
      <rPr>
        <b/>
        <sz val="14"/>
        <color rgb="FFFFFFFF"/>
        <rFont val="Calibri"/>
        <family val="2"/>
        <scheme val="minor"/>
      </rPr>
      <t>: Jika terjadi masalah pada sistem, silahkan isi table dibawah:</t>
    </r>
  </si>
  <si>
    <r>
      <rPr>
        <sz val="14"/>
        <color theme="9"/>
        <rFont val="Calibri"/>
        <family val="2"/>
        <scheme val="minor"/>
      </rPr>
      <t>OK: Standard tersedia, diperbarui dan diikuti</t>
    </r>
    <r>
      <rPr>
        <sz val="14"/>
        <color rgb="FF0070C0"/>
        <rFont val="Calibri"/>
        <family val="2"/>
        <scheme val="minor"/>
      </rPr>
      <t xml:space="preserve">
</t>
    </r>
    <r>
      <rPr>
        <sz val="14"/>
        <color rgb="FFFF0000"/>
        <rFont val="Calibri"/>
        <family val="2"/>
        <scheme val="minor"/>
      </rPr>
      <t>NOK: Masalah pada sistem (standard tidak tersedia, tidak diikuti, tidak diperbarui)</t>
    </r>
    <r>
      <rPr>
        <sz val="14"/>
        <color rgb="FF0070C0"/>
        <rFont val="Calibri"/>
        <family val="2"/>
        <scheme val="minor"/>
      </rPr>
      <t xml:space="preserve">
</t>
    </r>
    <r>
      <rPr>
        <sz val="14"/>
        <color theme="0" tint="-0.499984740745262"/>
        <rFont val="Calibri"/>
        <family val="2"/>
        <scheme val="minor"/>
      </rPr>
      <t>NA: Sistem tidak berlaku</t>
    </r>
  </si>
  <si>
    <t>Standar mana yang tidak ada atau membutuhkan pembaruan?</t>
  </si>
  <si>
    <t>Responsible</t>
  </si>
  <si>
    <t>Due date</t>
  </si>
  <si>
    <t>NOK</t>
  </si>
  <si>
    <t>NA</t>
  </si>
  <si>
    <r>
      <rPr>
        <b/>
        <sz val="14"/>
        <color rgb="FF000000"/>
        <rFont val="Calibri"/>
        <family val="2"/>
      </rPr>
      <t>AM Cleaning, Inspection and Lubrication (CIL)</t>
    </r>
    <r>
      <rPr>
        <sz val="14"/>
        <color rgb="FF000000"/>
        <rFont val="Calibri"/>
        <family val="2"/>
      </rPr>
      <t>: Periksa apakah area tersebut bersih dan komponen dilumasi sesuai standar. Apakah setiap tugas CIL yang terkait dengan masalah telah 100% dilakukan?</t>
    </r>
  </si>
  <si>
    <r>
      <rPr>
        <b/>
        <sz val="14"/>
        <color rgb="FF000000"/>
        <rFont val="Calibri"/>
        <family val="2"/>
      </rPr>
      <t>AM Defect Handling (DH)</t>
    </r>
    <r>
      <rPr>
        <sz val="14"/>
        <color rgb="FF000000"/>
        <rFont val="Calibri"/>
        <family val="2"/>
      </rPr>
      <t>: Apakah peralatan bebas dari defect?  cek DH Log dan pastikan tidak ada komponen yang defect (misal. gauges tidak terkalibrasi, tipe baut yang salah dll.)</t>
    </r>
  </si>
  <si>
    <r>
      <rPr>
        <b/>
        <sz val="14"/>
        <color rgb="FF000000"/>
        <rFont val="Calibri"/>
        <family val="2"/>
      </rPr>
      <t>AM Centerlines (CL)</t>
    </r>
    <r>
      <rPr>
        <sz val="14"/>
        <color rgb="FF000000"/>
        <rFont val="Calibri"/>
        <family val="2"/>
      </rPr>
      <t>: Apakah semua CL sudah ada dan sesuai dengan target?</t>
    </r>
  </si>
  <si>
    <r>
      <rPr>
        <b/>
        <sz val="14"/>
        <color rgb="FF000000"/>
        <rFont val="Calibri"/>
        <family val="2"/>
        <charset val="204"/>
      </rPr>
      <t>PM:</t>
    </r>
    <r>
      <rPr>
        <sz val="14"/>
        <color rgb="FF000000"/>
        <rFont val="Calibri"/>
        <family val="2"/>
      </rPr>
      <t xml:space="preserve"> Kegiatan Maintenance dieksekusi sesuai dengan standard?</t>
    </r>
  </si>
  <si>
    <r>
      <rPr>
        <b/>
        <sz val="14"/>
        <color rgb="FF000000"/>
        <rFont val="Calibri"/>
        <family val="2"/>
        <charset val="204"/>
      </rPr>
      <t xml:space="preserve">WPI: </t>
    </r>
    <r>
      <rPr>
        <sz val="14"/>
        <color rgb="FF000000"/>
        <rFont val="Calibri"/>
        <family val="2"/>
        <charset val="204"/>
      </rPr>
      <t>Metode Operasi dilakukan sesuai standard (i.e. praktik kerja yang aman, kualitas sesuai). Visual control tidak menunjukan penyimpangan.</t>
    </r>
  </si>
  <si>
    <r>
      <rPr>
        <b/>
        <sz val="14"/>
        <color rgb="FF000000"/>
        <rFont val="Calibri"/>
        <family val="2"/>
        <charset val="204"/>
      </rPr>
      <t>WPI:</t>
    </r>
    <r>
      <rPr>
        <sz val="14"/>
        <color rgb="FF000000"/>
        <rFont val="Calibri"/>
        <family val="2"/>
      </rPr>
      <t xml:space="preserve"> Aktifitas Changeover dieksekusi sesuai dengan standard?</t>
    </r>
  </si>
  <si>
    <r>
      <rPr>
        <b/>
        <sz val="14"/>
        <color rgb="FF000000"/>
        <rFont val="Calibri"/>
        <family val="2"/>
        <charset val="204"/>
      </rPr>
      <t>Quality:</t>
    </r>
    <r>
      <rPr>
        <sz val="14"/>
        <color rgb="FF000000"/>
        <rFont val="Calibri"/>
        <family val="2"/>
      </rPr>
      <t xml:space="preserve"> Material bebas cacat dan sesuai spesifikasi? 
Apakah ada Quality flag di area yang bermasalah dan belum di close? Jika iya, apakah berdampak pada losses. (i.e. control system tidak bekerja, cacat visual pada produk, dll)</t>
    </r>
  </si>
  <si>
    <t>* Before creating a new standard, please ensure that all the existing systems are in standard. Take into account that new standards will require additional validations not covered in IPS</t>
  </si>
  <si>
    <r>
      <t xml:space="preserve">1.5. </t>
    </r>
    <r>
      <rPr>
        <b/>
        <sz val="14"/>
        <color rgb="FFFFFF00"/>
        <rFont val="Calibri"/>
        <family val="2"/>
        <scheme val="minor"/>
      </rPr>
      <t xml:space="preserve">Ask WHY WHY?: </t>
    </r>
    <r>
      <rPr>
        <b/>
        <sz val="14"/>
        <color theme="0"/>
        <rFont val="Calibri"/>
        <family val="2"/>
        <charset val="204"/>
        <scheme val="minor"/>
      </rPr>
      <t>Tanyakan kenapa deviasi dari standard terjadi?</t>
    </r>
  </si>
  <si>
    <r>
      <rPr>
        <b/>
        <sz val="11"/>
        <rFont val="Calibri"/>
        <family val="2"/>
        <scheme val="minor"/>
      </rPr>
      <t>WHAT?</t>
    </r>
    <r>
      <rPr>
        <sz val="11"/>
        <rFont val="Calibri"/>
        <family val="2"/>
        <scheme val="minor"/>
      </rPr>
      <t xml:space="preserve">
(Penyebab; semua yang terbukti "Benar/True")</t>
    </r>
  </si>
  <si>
    <r>
      <rPr>
        <b/>
        <sz val="12"/>
        <rFont val="Calibri"/>
        <family val="2"/>
      </rPr>
      <t>WHY? (1)</t>
    </r>
    <r>
      <rPr>
        <sz val="12"/>
        <rFont val="Calibri"/>
        <family val="2"/>
      </rPr>
      <t xml:space="preserve">
Penyebab langsung yang ditemukan</t>
    </r>
  </si>
  <si>
    <t>T/F</t>
  </si>
  <si>
    <t>WHY? (2)</t>
  </si>
  <si>
    <t>WHY? (3)</t>
  </si>
  <si>
    <t>WHY? (4)</t>
  </si>
  <si>
    <t>WHY? (5)</t>
  </si>
  <si>
    <t>Due Date</t>
  </si>
  <si>
    <t>Reapplicable (Y/N)</t>
  </si>
  <si>
    <r>
      <rPr>
        <b/>
        <sz val="14"/>
        <color rgb="FFFFFFFF"/>
        <rFont val="Calibri"/>
        <family val="2"/>
      </rPr>
      <t xml:space="preserve">1.6. </t>
    </r>
    <r>
      <rPr>
        <b/>
        <sz val="14"/>
        <color rgb="FFFFFF00"/>
        <rFont val="Calibri"/>
        <family val="2"/>
      </rPr>
      <t>Check the Quality of the IPS</t>
    </r>
    <r>
      <rPr>
        <b/>
        <sz val="14"/>
        <color rgb="FFFFFFFF"/>
        <rFont val="Calibri"/>
        <family val="2"/>
      </rPr>
      <t>: Untuk memutuskan apakah IPS ditutup atau perlu dilakukan UPS (Dilakukan oleh EO dengan Process Lead)</t>
    </r>
  </si>
  <si>
    <t xml:space="preserve">                                    IPS Summary and next steps</t>
  </si>
  <si>
    <t xml:space="preserve">1. Apakah root vause dari loss sudah dipahami dan tereliminasi secara berkelanjutan? Y/N : (Jika tidak lakukan IPS HC dan evaluasi apakah memerlukan UPS). </t>
  </si>
  <si>
    <t>Delivery : Loss Reduction (%/day)</t>
  </si>
  <si>
    <t>Cost Improvement</t>
  </si>
  <si>
    <t>2. Apakah dapat di reapplikasi? Yes/No. Jika Yes pastikan RM disubmit.</t>
  </si>
  <si>
    <t>Waste : Loss Reduction (Sticks/day)</t>
  </si>
  <si>
    <t>3. Apa Next step untuk sustain atau langkah selainjutnya untuk mengeliminasi loss saat ini (Lakukan IPS lainnya, inisiasi UPS)</t>
  </si>
  <si>
    <t>Quality : Loss Reduction (Total Value QI)</t>
  </si>
  <si>
    <t xml:space="preserve">DETAIL PENGECEKAN BCC IPS </t>
  </si>
  <si>
    <t>No</t>
  </si>
  <si>
    <t>Date</t>
  </si>
  <si>
    <t>Shift</t>
  </si>
  <si>
    <t>DMS/SWP</t>
  </si>
  <si>
    <t>Item Check</t>
  </si>
  <si>
    <t>Std</t>
  </si>
  <si>
    <t>Actual cek</t>
  </si>
  <si>
    <t xml:space="preserve">PIC </t>
  </si>
  <si>
    <r>
      <t xml:space="preserve">Status
</t>
    </r>
    <r>
      <rPr>
        <b/>
        <sz val="8"/>
        <color rgb="FF000000"/>
        <rFont val="Calibri"/>
        <family val="2"/>
        <charset val="204"/>
        <scheme val="minor"/>
      </rPr>
      <t>(restore to basic condition)</t>
    </r>
  </si>
  <si>
    <t>Apakah berimpact?</t>
  </si>
  <si>
    <t>Submission Date</t>
  </si>
  <si>
    <t>Dept</t>
  </si>
  <si>
    <t>LU</t>
  </si>
  <si>
    <t>Loss Category</t>
  </si>
  <si>
    <t>Loss Name</t>
  </si>
  <si>
    <t>Evidence</t>
  </si>
  <si>
    <t>What</t>
  </si>
  <si>
    <t>Where</t>
  </si>
  <si>
    <t>To Whom</t>
  </si>
  <si>
    <t>How</t>
  </si>
  <si>
    <t>Which</t>
  </si>
  <si>
    <t>When</t>
  </si>
  <si>
    <t>Who</t>
  </si>
  <si>
    <t>How Much</t>
  </si>
  <si>
    <t>Refocused Problem Statement</t>
  </si>
  <si>
    <t>BCC NoK List</t>
  </si>
  <si>
    <t>BCC NoK List Action</t>
  </si>
  <si>
    <t>Countermeasure</t>
  </si>
  <si>
    <t>All BCC List</t>
  </si>
  <si>
    <t>CM to RM</t>
  </si>
  <si>
    <t>Impact Cost</t>
  </si>
  <si>
    <t>Cost Dictionary</t>
  </si>
  <si>
    <t>Delivery</t>
  </si>
  <si>
    <t>Cost</t>
  </si>
  <si>
    <t>Linkup</t>
  </si>
  <si>
    <t>Sensitivity 1% Yearly IDR</t>
  </si>
  <si>
    <t>Format</t>
  </si>
  <si>
    <t>Cigarette</t>
  </si>
  <si>
    <t>Cost Pack</t>
  </si>
  <si>
    <t>Pack</t>
  </si>
  <si>
    <t>LU12-ID02</t>
  </si>
  <si>
    <t>LU14-ID02</t>
  </si>
  <si>
    <t>LU15-ID02</t>
  </si>
  <si>
    <t>LU16-ID02</t>
  </si>
  <si>
    <t>LU17-ID02</t>
  </si>
  <si>
    <t>LU10-ID02</t>
  </si>
  <si>
    <t>LU25-ID02</t>
  </si>
  <si>
    <t>LU26-ID02</t>
  </si>
  <si>
    <t>LU27-ID02</t>
  </si>
  <si>
    <t>LU11-ID01</t>
  </si>
  <si>
    <t>LU12-ID01</t>
  </si>
  <si>
    <t>LU13-ID01</t>
  </si>
  <si>
    <t>LU21-ID01</t>
  </si>
  <si>
    <t>LU22-ID01</t>
  </si>
  <si>
    <t>LU23-ID01</t>
  </si>
  <si>
    <t>LU16-ID01</t>
  </si>
  <si>
    <t>LU17-ID01</t>
  </si>
  <si>
    <t>LU29-ID01</t>
  </si>
  <si>
    <t>LU26-ID01</t>
  </si>
  <si>
    <t>LU28-ID01</t>
  </si>
  <si>
    <t>LU18-ID01</t>
  </si>
  <si>
    <t>LU24-ID01</t>
  </si>
  <si>
    <t>D</t>
  </si>
  <si>
    <t>Q</t>
  </si>
  <si>
    <r>
      <t xml:space="preserve">Dimana Terjadinya? Dimana Tidak Terjadi? (titik transformasi)
</t>
    </r>
    <r>
      <rPr>
        <sz val="12"/>
        <color rgb="FF000000"/>
        <rFont val="Calibri"/>
        <family val="2"/>
        <charset val="204"/>
      </rPr>
      <t>Jelaskan indikasi se-detail mungkin terkait dimana masalah terjadi (dimana transformasi tempat masalah terjadi).</t>
    </r>
    <r>
      <rPr>
        <b/>
        <sz val="12"/>
        <color rgb="FF000000"/>
        <rFont val="Calibri"/>
        <family val="2"/>
      </rPr>
      <t xml:space="preserve">
</t>
    </r>
    <r>
      <rPr>
        <sz val="12"/>
        <color rgb="FF000000"/>
        <rFont val="Calibri"/>
        <family val="2"/>
      </rPr>
      <t>Jelaskan titik mulai dan berakhirnya loss / poin penyebab, mengacu ke Equipment Transformation List &amp; WPA untuk line yang sudah di AM Step 4.</t>
    </r>
  </si>
  <si>
    <r>
      <rPr>
        <b/>
        <sz val="12"/>
        <color rgb="FF000000"/>
        <rFont val="Calibri"/>
        <family val="2"/>
      </rPr>
      <t xml:space="preserve">Di Area, Line, System mana yang terkena efek?
</t>
    </r>
    <r>
      <rPr>
        <sz val="12"/>
        <color rgb="FF000000"/>
        <rFont val="Calibri"/>
        <family val="2"/>
      </rPr>
      <t>Tunjukan dampak masalah yang terjadi ke area mesin / equipment / line lainnya.
Area / line / sistem mana yang terdampak?
Lakukan pengecekkan ke line lain dengan brand/format/teknologi yang sama, untuk melihata apakah masalah yang sama juga muncul / terjadi.</t>
    </r>
  </si>
  <si>
    <r>
      <t xml:space="preserve">Bagaimana masalah ini terjadi? (Keadaan sekitar terjadinya masalah)
</t>
    </r>
    <r>
      <rPr>
        <sz val="12"/>
        <color rgb="FF000000"/>
        <rFont val="Calibri"/>
        <family val="2"/>
      </rPr>
      <t>Deskripsikan detail flow proses di equipment transformation list, yang terkait dengan bukti / evidence yang ada.
Misalnya: sebelum terjadi stop, apakah ada reject konsekutif, suara yang abnormal, speed yang naik turun, material misalignment? Apakah masalah terjadi saat mesin running di target speed?</t>
    </r>
  </si>
  <si>
    <r>
      <rPr>
        <b/>
        <sz val="12"/>
        <color rgb="FF000000"/>
        <rFont val="Calibri"/>
        <family val="2"/>
      </rPr>
      <t xml:space="preserve">di Brand, SKU's, Format, Blend, Material apakah masalah terjadi? (atau yang tidak terjadi)
</t>
    </r>
    <r>
      <rPr>
        <sz val="12"/>
        <color rgb="FF000000"/>
        <rFont val="Calibri"/>
        <family val="2"/>
        <charset val="204"/>
      </rPr>
      <t>Mohon spesifikkan di brand/SKU mana issue terjadi</t>
    </r>
  </si>
  <si>
    <r>
      <rPr>
        <b/>
        <sz val="12"/>
        <color rgb="FF000000"/>
        <rFont val="Calibri"/>
        <family val="2"/>
      </rPr>
      <t xml:space="preserve">Kapan masalah terjadi?
</t>
    </r>
    <r>
      <rPr>
        <sz val="12"/>
        <color rgb="FF000000"/>
        <rFont val="Calibri"/>
        <family val="2"/>
        <charset val="204"/>
      </rPr>
      <t>Cek kondisi spesifik yang terjadi / intervensi yang dilakukan, sebelum masalah terjadi.
Apakah masalah terjadi setelah start up / stop / shutdown, apakah saat ramp up speed, saat mesin running normal?
Misalnya: setelah brand change / perbaikan DH / cleaning mesin / planned maintenance / dll....</t>
    </r>
  </si>
  <si>
    <r>
      <rPr>
        <b/>
        <sz val="12"/>
        <color rgb="FF000000"/>
        <rFont val="Calibri"/>
        <family val="2"/>
      </rPr>
      <t xml:space="preserve">Di tim atau Orang manakah masalah terjadi? Siapakah yang mendeteksi masalah?
</t>
    </r>
    <r>
      <rPr>
        <sz val="12"/>
        <color rgb="FF000000"/>
        <rFont val="Calibri"/>
        <family val="2"/>
        <charset val="204"/>
      </rPr>
      <t>Apakah masalah terjadi di shift sebelumnya?
Jika iya, di tim yang mana? System/orang Mana yang mendeteksi masalah?</t>
    </r>
  </si>
  <si>
    <r>
      <rPr>
        <b/>
        <sz val="12"/>
        <color rgb="FF000000"/>
        <rFont val="Calibri"/>
        <family val="2"/>
      </rPr>
      <t xml:space="preserve">Define quantity and frequency.
</t>
    </r>
    <r>
      <rPr>
        <sz val="12"/>
        <color rgb="FF000000"/>
        <rFont val="Calibri"/>
        <family val="2"/>
      </rPr>
      <t>Cek apakah masalah terjadi hanya di saat-saat tertentu saja / secara terus-menerus?
Jika terjadi hanya saat-saat tertentu saja, seberapa sering muncul nya? Apakah stop nya semakin bertambah / berkurang?</t>
    </r>
  </si>
  <si>
    <r>
      <t xml:space="preserve">1.3. </t>
    </r>
    <r>
      <rPr>
        <b/>
        <sz val="14"/>
        <color rgb="FFFFFF00"/>
        <rFont val="Calibri"/>
        <family val="2"/>
        <scheme val="minor"/>
      </rPr>
      <t>Verify base condition for refocused problem</t>
    </r>
    <r>
      <rPr>
        <b/>
        <sz val="14"/>
        <color theme="0"/>
        <rFont val="Calibri"/>
        <family val="2"/>
        <scheme val="minor"/>
      </rPr>
      <t xml:space="preserve"> (Mohon refer ke kolom "Where")</t>
    </r>
  </si>
  <si>
    <t>Tindakan untuk kembali ke standar / untuk memperbarui (*)</t>
  </si>
  <si>
    <r>
      <t xml:space="preserve">CAUNTERMEASURES
</t>
    </r>
    <r>
      <rPr>
        <i/>
        <sz val="12"/>
        <rFont val="Calibri"/>
        <family val="2"/>
      </rPr>
      <t>(Jika action untuk pembuatan standard baru seperti CL, CIL sudah di buat, tambahkan link Digiperf nya juga)</t>
    </r>
  </si>
  <si>
    <t>Message Stop/Loss Sesuai SPA/HMI</t>
  </si>
  <si>
    <t>LU27-ID01</t>
  </si>
  <si>
    <t>LE Champion PIC ID</t>
  </si>
  <si>
    <t>LE Champion Name</t>
  </si>
  <si>
    <t>OK</t>
  </si>
  <si>
    <t xml:space="preserve">Ideal
</t>
  </si>
  <si>
    <t xml:space="preserve">Current
</t>
  </si>
  <si>
    <t>Leader owning completion:</t>
  </si>
  <si>
    <t>Date of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</si>
</sst>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IDR]\ #,##0"/>
  </numFmts>
  <fonts count="67" x14ac:knownFonts="1">
    <font>
      <sz val="11"/>
      <color theme="1"/>
      <name val="Calibri"/>
      <family val="2"/>
      <scheme val="minor"/>
    </font>
    <font>
      <b/>
      <sz val="26"/>
      <color theme="0"/>
      <name val="Calibri"/>
      <family val="2"/>
      <scheme val="minor"/>
    </font>
    <font>
      <sz val="10"/>
      <name val="Arial"/>
      <family val="2"/>
    </font>
    <font>
      <b/>
      <sz val="16"/>
      <color theme="0"/>
      <name val="Calibri"/>
      <family val="2"/>
      <scheme val="minor"/>
    </font>
    <font>
      <b/>
      <sz val="14"/>
      <name val="Calibri"/>
      <family val="2"/>
      <scheme val="minor"/>
    </font>
    <font>
      <sz val="14"/>
      <color rgb="FFFF0000"/>
      <name val="Calibri"/>
      <family val="2"/>
      <scheme val="minor"/>
    </font>
    <font>
      <sz val="11"/>
      <name val="Calibri"/>
      <family val="2"/>
      <scheme val="minor"/>
    </font>
    <font>
      <sz val="12"/>
      <name val="Calibri"/>
      <family val="2"/>
      <scheme val="minor"/>
    </font>
    <font>
      <b/>
      <sz val="14"/>
      <color theme="0"/>
      <name val="Calibri"/>
      <family val="2"/>
      <scheme val="minor"/>
    </font>
    <font>
      <b/>
      <sz val="14"/>
      <color rgb="FFFFFF00"/>
      <name val="Calibri"/>
      <family val="2"/>
      <scheme val="minor"/>
    </font>
    <font>
      <sz val="16"/>
      <name val="Calibri"/>
      <family val="2"/>
      <scheme val="minor"/>
    </font>
    <font>
      <sz val="14"/>
      <name val="Calibri"/>
      <family val="2"/>
      <scheme val="minor"/>
    </font>
    <font>
      <b/>
      <sz val="12"/>
      <name val="Calibri"/>
      <family val="2"/>
    </font>
    <font>
      <sz val="12"/>
      <name val="Calibri"/>
      <family val="2"/>
    </font>
    <font>
      <b/>
      <sz val="16"/>
      <color theme="1"/>
      <name val="Calibri"/>
      <family val="2"/>
      <charset val="238"/>
    </font>
    <font>
      <sz val="9"/>
      <name val="Calibri"/>
      <family val="2"/>
    </font>
    <font>
      <b/>
      <sz val="14"/>
      <color theme="2"/>
      <name val="Calibri"/>
      <family val="2"/>
      <scheme val="minor"/>
    </font>
    <font>
      <b/>
      <sz val="14"/>
      <name val="Calibri"/>
      <family val="2"/>
    </font>
    <font>
      <sz val="14"/>
      <color rgb="FF0070C0"/>
      <name val="Calibri"/>
      <family val="2"/>
      <scheme val="minor"/>
    </font>
    <font>
      <sz val="14"/>
      <color theme="9"/>
      <name val="Calibri"/>
      <family val="2"/>
      <scheme val="minor"/>
    </font>
    <font>
      <sz val="14"/>
      <color theme="0" tint="-0.499984740745262"/>
      <name val="Calibri"/>
      <family val="2"/>
      <scheme val="minor"/>
    </font>
    <font>
      <b/>
      <sz val="14"/>
      <color theme="1"/>
      <name val="Calibri"/>
      <family val="2"/>
      <scheme val="minor"/>
    </font>
    <font>
      <sz val="14"/>
      <color theme="3" tint="0.39997558519241921"/>
      <name val="Calibri"/>
      <family val="2"/>
      <scheme val="minor"/>
    </font>
    <font>
      <sz val="14"/>
      <color theme="4"/>
      <name val="Calibri"/>
      <family val="2"/>
      <scheme val="minor"/>
    </font>
    <font>
      <sz val="14"/>
      <color theme="0"/>
      <name val="Calibri"/>
      <family val="2"/>
      <scheme val="minor"/>
    </font>
    <font>
      <sz val="16"/>
      <color theme="6"/>
      <name val="Calibri"/>
      <family val="2"/>
      <scheme val="minor"/>
    </font>
    <font>
      <sz val="16"/>
      <color theme="3" tint="0.39997558519241921"/>
      <name val="Calibri"/>
      <family val="2"/>
      <scheme val="minor"/>
    </font>
    <font>
      <sz val="16"/>
      <color theme="4"/>
      <name val="Calibri"/>
      <family val="2"/>
      <scheme val="minor"/>
    </font>
    <font>
      <sz val="14"/>
      <color rgb="FFC00000"/>
      <name val="Calibri"/>
      <family val="2"/>
      <scheme val="minor"/>
    </font>
    <font>
      <i/>
      <sz val="14"/>
      <color theme="1"/>
      <name val="Calibri"/>
      <family val="2"/>
      <scheme val="minor"/>
    </font>
    <font>
      <sz val="12"/>
      <color rgb="FF000000"/>
      <name val="Calibri"/>
      <family val="2"/>
    </font>
    <font>
      <b/>
      <sz val="12"/>
      <color rgb="FF000000"/>
      <name val="Calibri"/>
      <family val="2"/>
    </font>
    <font>
      <b/>
      <sz val="14"/>
      <color rgb="FF000000"/>
      <name val="Calibri"/>
      <family val="2"/>
    </font>
    <font>
      <sz val="14"/>
      <color rgb="FF000000"/>
      <name val="Calibri"/>
      <family val="2"/>
    </font>
    <font>
      <sz val="16"/>
      <color rgb="FF000000"/>
      <name val="Calibri"/>
      <family val="2"/>
    </font>
    <font>
      <b/>
      <sz val="16"/>
      <name val="Calibri"/>
      <family val="2"/>
    </font>
    <font>
      <b/>
      <sz val="14"/>
      <color theme="0"/>
      <name val="Calibri"/>
      <family val="2"/>
    </font>
    <font>
      <b/>
      <sz val="14"/>
      <color rgb="FFFFFF00"/>
      <name val="Calibri"/>
      <family val="2"/>
    </font>
    <font>
      <b/>
      <sz val="18"/>
      <name val="Calibri"/>
      <family val="2"/>
      <scheme val="minor"/>
    </font>
    <font>
      <b/>
      <sz val="14"/>
      <color rgb="FFFFFFFF"/>
      <name val="Calibri"/>
      <family val="2"/>
    </font>
    <font>
      <b/>
      <sz val="11"/>
      <name val="Calibri"/>
      <family val="2"/>
      <scheme val="minor"/>
    </font>
    <font>
      <sz val="11"/>
      <color theme="0"/>
      <name val="Calibri"/>
      <family val="2"/>
      <scheme val="minor"/>
    </font>
    <font>
      <b/>
      <sz val="16"/>
      <color theme="1"/>
      <name val="Calibri"/>
      <family val="2"/>
      <scheme val="minor"/>
    </font>
    <font>
      <sz val="14"/>
      <color rgb="FF000000"/>
      <name val="Calibri"/>
      <family val="2"/>
      <charset val="204"/>
    </font>
    <font>
      <i/>
      <sz val="11"/>
      <name val="Calibri"/>
      <family val="2"/>
      <scheme val="minor"/>
    </font>
    <font>
      <sz val="12"/>
      <color rgb="FF000000"/>
      <name val="Calibri"/>
      <family val="2"/>
      <charset val="204"/>
    </font>
    <font>
      <sz val="12"/>
      <name val="Calibri"/>
      <family val="2"/>
      <charset val="204"/>
    </font>
    <font>
      <b/>
      <sz val="14"/>
      <color rgb="FF000000"/>
      <name val="Calibri"/>
      <family val="2"/>
      <charset val="204"/>
    </font>
    <font>
      <b/>
      <sz val="14"/>
      <color theme="0"/>
      <name val="Calibri"/>
      <family val="2"/>
      <charset val="204"/>
      <scheme val="minor"/>
    </font>
    <font>
      <sz val="11"/>
      <color rgb="FF000000"/>
      <name val="Calibri"/>
      <family val="2"/>
      <scheme val="minor"/>
    </font>
    <font>
      <sz val="8"/>
      <name val="Calibri"/>
      <family val="2"/>
      <scheme val="minor"/>
    </font>
    <font>
      <sz val="11"/>
      <color rgb="FF000000"/>
      <name val="Calibri"/>
      <family val="2"/>
      <charset val="204"/>
    </font>
    <font>
      <b/>
      <sz val="12"/>
      <color theme="0"/>
      <name val="Calibri"/>
      <family val="2"/>
      <scheme val="minor"/>
    </font>
    <font>
      <sz val="11"/>
      <color theme="0"/>
      <name val="Calibri"/>
      <family val="2"/>
    </font>
    <font>
      <b/>
      <sz val="18"/>
      <color theme="1"/>
      <name val="Calibri"/>
      <family val="2"/>
      <scheme val="minor"/>
    </font>
    <font>
      <sz val="11"/>
      <color theme="0"/>
      <name val="Calibri"/>
      <family val="2"/>
      <charset val="204"/>
    </font>
    <font>
      <sz val="16"/>
      <name val="Calibri"/>
      <family val="2"/>
    </font>
    <font>
      <sz val="14"/>
      <name val="Calibri"/>
      <family val="2"/>
    </font>
    <font>
      <i/>
      <sz val="14"/>
      <name val="Calibri"/>
      <family val="2"/>
    </font>
    <font>
      <b/>
      <sz val="8"/>
      <color rgb="FF000000"/>
      <name val="Calibri"/>
      <family val="2"/>
      <charset val="204"/>
      <scheme val="minor"/>
    </font>
    <font>
      <b/>
      <sz val="12"/>
      <color rgb="FF000000"/>
      <name val="Calibri"/>
      <family val="2"/>
      <scheme val="minor"/>
    </font>
    <font>
      <b/>
      <sz val="12"/>
      <color theme="1"/>
      <name val="Calibri"/>
      <family val="2"/>
      <scheme val="minor"/>
    </font>
    <font>
      <b/>
      <sz val="14"/>
      <color rgb="FFFFFFFF"/>
      <name val="Calibri"/>
      <family val="2"/>
      <scheme val="minor"/>
    </font>
    <font>
      <b/>
      <sz val="14"/>
      <color theme="0"/>
      <name val="Calibri"/>
      <family val="2"/>
      <scheme val="minor"/>
    </font>
    <font>
      <i/>
      <sz val="12"/>
      <name val="Calibri"/>
      <family val="2"/>
    </font>
    <font>
      <u/>
      <sz val="11"/>
      <color theme="10"/>
      <name val="Calibri"/>
      <family val="2"/>
      <scheme val="minor"/>
    </font>
    <font>
      <sz val="14"/>
      <color theme="1"/>
      <name val="Calibri"/>
      <family val="2"/>
      <scheme val="minor"/>
    </font>
  </fonts>
  <fills count="18">
    <fill>
      <patternFill patternType="none"/>
    </fill>
    <fill>
      <patternFill patternType="gray125"/>
    </fill>
    <fill>
      <patternFill patternType="solid">
        <fgColor rgb="FFFF5050"/>
        <bgColor indexed="64"/>
      </patternFill>
    </fill>
    <fill>
      <patternFill patternType="solid">
        <fgColor rgb="FFC5D9F1"/>
        <bgColor indexed="64"/>
      </patternFill>
    </fill>
    <fill>
      <patternFill patternType="solid">
        <fgColor theme="0" tint="-4.9989318521683403E-2"/>
        <bgColor indexed="64"/>
      </patternFill>
    </fill>
    <fill>
      <patternFill patternType="solid">
        <fgColor rgb="FFC5D9F1"/>
        <bgColor rgb="FFC5D9F1"/>
      </patternFill>
    </fill>
    <fill>
      <patternFill patternType="solid">
        <fgColor rgb="FF0070C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bgColor indexed="64"/>
      </patternFill>
    </fill>
    <fill>
      <patternFill patternType="solid">
        <fgColor rgb="FF7030A0"/>
        <bgColor indexed="64"/>
      </patternFill>
    </fill>
    <fill>
      <patternFill patternType="solid">
        <fgColor theme="8" tint="0.59999389629810485"/>
        <bgColor indexed="64"/>
      </patternFill>
    </fill>
    <fill>
      <patternFill patternType="solid">
        <fgColor theme="7"/>
        <bgColor indexed="64"/>
      </patternFill>
    </fill>
    <fill>
      <patternFill patternType="solid">
        <fgColor rgb="FF002060"/>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C000"/>
        <bgColor rgb="FF000000"/>
      </patternFill>
    </fill>
  </fills>
  <borders count="35">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theme="9"/>
      </left>
      <right style="thin">
        <color theme="9"/>
      </right>
      <top style="thin">
        <color theme="9"/>
      </top>
      <bottom style="thin">
        <color theme="9"/>
      </bottom>
      <diagonal/>
    </border>
    <border>
      <left style="thin">
        <color rgb="FFFF0000"/>
      </left>
      <right style="thin">
        <color rgb="FFFF0000"/>
      </right>
      <top style="thin">
        <color rgb="FFFF0000"/>
      </top>
      <bottom style="thin">
        <color rgb="FFFF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top style="thin">
        <color rgb="FF000000"/>
      </top>
      <bottom/>
      <diagonal/>
    </border>
    <border>
      <left/>
      <right/>
      <top style="thin">
        <color rgb="FF000000"/>
      </top>
      <bottom/>
      <diagonal/>
    </border>
    <border>
      <left style="medium">
        <color rgb="FF000000"/>
      </left>
      <right style="thin">
        <color auto="1"/>
      </right>
      <top style="medium">
        <color rgb="FF000000"/>
      </top>
      <bottom style="thin">
        <color auto="1"/>
      </bottom>
      <diagonal/>
    </border>
    <border>
      <left style="thin">
        <color auto="1"/>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style="thin">
        <color auto="1"/>
      </right>
      <top style="thin">
        <color auto="1"/>
      </top>
      <bottom style="thin">
        <color auto="1"/>
      </bottom>
      <diagonal/>
    </border>
    <border>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top style="thin">
        <color auto="1"/>
      </top>
      <bottom style="medium">
        <color rgb="FF000000"/>
      </bottom>
      <diagonal/>
    </border>
    <border>
      <left/>
      <right/>
      <top style="thin">
        <color auto="1"/>
      </top>
      <bottom style="medium">
        <color rgb="FF000000"/>
      </bottom>
      <diagonal/>
    </border>
    <border>
      <left/>
      <right style="medium">
        <color rgb="FF000000"/>
      </right>
      <top style="thin">
        <color auto="1"/>
      </top>
      <bottom style="medium">
        <color rgb="FF000000"/>
      </bottom>
      <diagonal/>
    </border>
    <border>
      <left style="medium">
        <color rgb="FF000000"/>
      </left>
      <right/>
      <top style="medium">
        <color rgb="FF000000"/>
      </top>
      <bottom style="thin">
        <color auto="1"/>
      </bottom>
      <diagonal/>
    </border>
    <border>
      <left/>
      <right style="thin">
        <color auto="1"/>
      </right>
      <top style="medium">
        <color rgb="FF000000"/>
      </top>
      <bottom style="thin">
        <color auto="1"/>
      </bottom>
      <diagonal/>
    </border>
    <border>
      <left style="medium">
        <color rgb="FF000000"/>
      </left>
      <right/>
      <top style="thin">
        <color auto="1"/>
      </top>
      <bottom style="medium">
        <color rgb="FF000000"/>
      </bottom>
      <diagonal/>
    </border>
    <border>
      <left/>
      <right/>
      <top/>
      <bottom style="thin">
        <color rgb="FFFF0000"/>
      </bottom>
      <diagonal/>
    </border>
  </borders>
  <cellStyleXfs count="3">
    <xf numFmtId="0" fontId="0" fillId="0" borderId="0"/>
    <xf numFmtId="0" fontId="2" fillId="0" borderId="0"/>
    <xf numFmtId="0" fontId="65" fillId="0" borderId="0" applyNumberFormat="0" applyFill="0" applyBorder="0" applyAlignment="0" applyProtection="0"/>
  </cellStyleXfs>
  <cellXfs count="281">
    <xf numFmtId="0" fontId="0" fillId="0" borderId="0" xfId="0"/>
    <xf numFmtId="0" fontId="6" fillId="0" borderId="0" xfId="0" applyFont="1"/>
    <xf numFmtId="0" fontId="7" fillId="0" borderId="0" xfId="0" applyFont="1"/>
    <xf numFmtId="0" fontId="10" fillId="0" borderId="0" xfId="0" applyFont="1" applyAlignment="1">
      <alignment horizontal="left" vertical="center"/>
    </xf>
    <xf numFmtId="0" fontId="11" fillId="0" borderId="0" xfId="0" applyFont="1"/>
    <xf numFmtId="0" fontId="11" fillId="0" borderId="10" xfId="0" applyFont="1" applyBorder="1"/>
    <xf numFmtId="0" fontId="13" fillId="0" borderId="0" xfId="1" applyFont="1" applyAlignment="1">
      <alignment vertical="center" wrapText="1"/>
    </xf>
    <xf numFmtId="0" fontId="12" fillId="0" borderId="0" xfId="1" applyFont="1" applyAlignment="1">
      <alignment horizontal="center" vertical="center" wrapText="1"/>
    </xf>
    <xf numFmtId="0" fontId="15" fillId="0" borderId="0" xfId="1"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center" vertical="center"/>
    </xf>
    <xf numFmtId="0" fontId="22" fillId="0" borderId="0" xfId="0" applyFont="1" applyAlignment="1">
      <alignment horizontal="center" vertical="center"/>
    </xf>
    <xf numFmtId="0" fontId="4" fillId="0" borderId="0" xfId="0" applyFont="1" applyAlignment="1">
      <alignment horizontal="left" vertical="center" wrapText="1"/>
    </xf>
    <xf numFmtId="0" fontId="10" fillId="0" borderId="0" xfId="0" applyFont="1"/>
    <xf numFmtId="0" fontId="25" fillId="0" borderId="0" xfId="0" applyFont="1" applyAlignment="1">
      <alignment horizontal="center" vertical="center"/>
    </xf>
    <xf numFmtId="0" fontId="3"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10" fillId="0" borderId="0" xfId="0" applyFont="1" applyAlignment="1">
      <alignment horizontal="left" vertical="center" wrapText="1"/>
    </xf>
    <xf numFmtId="0" fontId="27" fillId="0" borderId="0" xfId="0" applyFont="1" applyAlignment="1">
      <alignment horizontal="center" vertical="top"/>
    </xf>
    <xf numFmtId="0" fontId="23" fillId="0" borderId="0" xfId="0" applyFont="1" applyAlignment="1">
      <alignment horizontal="center" vertical="top"/>
    </xf>
    <xf numFmtId="0" fontId="11" fillId="0" borderId="0" xfId="0" applyFont="1" applyAlignment="1">
      <alignment vertical="center"/>
    </xf>
    <xf numFmtId="0" fontId="11" fillId="0" borderId="0" xfId="0" applyFont="1" applyAlignment="1">
      <alignment vertical="center" wrapText="1"/>
    </xf>
    <xf numFmtId="0" fontId="19" fillId="0" borderId="0" xfId="0" applyFont="1" applyAlignment="1">
      <alignment horizontal="center" vertical="center"/>
    </xf>
    <xf numFmtId="0" fontId="28" fillId="0" borderId="0" xfId="0" applyFont="1" applyAlignment="1">
      <alignment horizontal="center" vertical="center"/>
    </xf>
    <xf numFmtId="0" fontId="20" fillId="0" borderId="0" xfId="0" applyFont="1" applyAlignment="1">
      <alignment horizontal="center" vertical="center"/>
    </xf>
    <xf numFmtId="0" fontId="11" fillId="0" borderId="0" xfId="0" applyFont="1" applyAlignment="1">
      <alignment horizontal="center" vertical="center" wrapText="1"/>
    </xf>
    <xf numFmtId="0" fontId="18" fillId="0" borderId="0" xfId="0" applyFont="1" applyAlignment="1">
      <alignment horizontal="center" vertical="center" wrapText="1"/>
    </xf>
    <xf numFmtId="0" fontId="21" fillId="0" borderId="0" xfId="0" applyFont="1" applyAlignment="1">
      <alignment horizontal="center" vertical="center" wrapText="1"/>
    </xf>
    <xf numFmtId="0" fontId="11" fillId="0" borderId="0" xfId="0" applyFont="1" applyAlignment="1">
      <alignment horizontal="left" vertical="center"/>
    </xf>
    <xf numFmtId="0" fontId="15" fillId="0" borderId="0" xfId="1" applyFont="1" applyAlignment="1">
      <alignment horizontal="center" vertical="center" wrapText="1"/>
    </xf>
    <xf numFmtId="0" fontId="6" fillId="0" borderId="0" xfId="0" applyFont="1" applyAlignment="1">
      <alignment vertical="center"/>
    </xf>
    <xf numFmtId="0" fontId="11" fillId="0" borderId="6" xfId="0" applyFont="1" applyBorder="1" applyAlignment="1">
      <alignment vertical="center"/>
    </xf>
    <xf numFmtId="0" fontId="11" fillId="0" borderId="11" xfId="0" applyFont="1" applyBorder="1"/>
    <xf numFmtId="0" fontId="11" fillId="0" borderId="12" xfId="0" applyFont="1" applyBorder="1"/>
    <xf numFmtId="0" fontId="23" fillId="0" borderId="0" xfId="0" applyFont="1" applyAlignment="1">
      <alignment horizontal="center" vertical="center"/>
    </xf>
    <xf numFmtId="0" fontId="33" fillId="0" borderId="0" xfId="0" applyFont="1" applyAlignment="1">
      <alignment horizontal="left" vertical="center" wrapText="1"/>
    </xf>
    <xf numFmtId="0" fontId="24" fillId="0" borderId="0" xfId="0" applyFont="1" applyAlignment="1">
      <alignment vertical="center"/>
    </xf>
    <xf numFmtId="0" fontId="11" fillId="0" borderId="12" xfId="0" applyFont="1" applyBorder="1" applyAlignment="1">
      <alignment horizontal="left" vertical="center" wrapText="1"/>
    </xf>
    <xf numFmtId="0" fontId="10" fillId="0" borderId="11" xfId="0" applyFont="1" applyBorder="1"/>
    <xf numFmtId="0" fontId="34" fillId="0" borderId="0" xfId="0" applyFont="1" applyAlignment="1">
      <alignment horizontal="left" vertical="center" wrapText="1"/>
    </xf>
    <xf numFmtId="0" fontId="10" fillId="0" borderId="12" xfId="0" applyFont="1" applyBorder="1" applyAlignment="1">
      <alignment horizontal="left" vertical="center" wrapText="1"/>
    </xf>
    <xf numFmtId="0" fontId="24" fillId="0" borderId="0" xfId="0" applyFont="1" applyAlignment="1">
      <alignment vertical="top"/>
    </xf>
    <xf numFmtId="0" fontId="33" fillId="0" borderId="0" xfId="0" applyFont="1" applyAlignment="1">
      <alignment vertical="center"/>
    </xf>
    <xf numFmtId="0" fontId="11" fillId="0" borderId="12" xfId="0" applyFont="1" applyBorder="1" applyAlignment="1">
      <alignment vertical="center"/>
    </xf>
    <xf numFmtId="0" fontId="10" fillId="0" borderId="4" xfId="0" applyFont="1" applyBorder="1"/>
    <xf numFmtId="0" fontId="24" fillId="0" borderId="5" xfId="0" applyFont="1" applyBorder="1" applyAlignment="1">
      <alignment vertical="center"/>
    </xf>
    <xf numFmtId="0" fontId="24" fillId="0" borderId="5" xfId="0" applyFont="1" applyBorder="1" applyAlignment="1">
      <alignment vertical="top"/>
    </xf>
    <xf numFmtId="0" fontId="33" fillId="0" borderId="5" xfId="0" applyFont="1" applyBorder="1" applyAlignment="1">
      <alignment vertical="center"/>
    </xf>
    <xf numFmtId="0" fontId="21" fillId="4" borderId="10" xfId="0" applyFont="1" applyFill="1" applyBorder="1" applyAlignment="1">
      <alignment horizontal="center" vertical="center" wrapText="1"/>
    </xf>
    <xf numFmtId="0" fontId="6" fillId="0" borderId="0" xfId="0" applyFont="1" applyAlignment="1">
      <alignment horizontal="center" vertical="center"/>
    </xf>
    <xf numFmtId="0" fontId="0" fillId="10" borderId="0" xfId="0" applyFill="1" applyAlignment="1">
      <alignment horizontal="center" vertical="center"/>
    </xf>
    <xf numFmtId="0" fontId="0" fillId="10" borderId="0" xfId="0" applyFill="1"/>
    <xf numFmtId="0" fontId="11" fillId="9" borderId="10" xfId="0" applyFont="1" applyFill="1" applyBorder="1" applyAlignment="1">
      <alignment horizontal="center" vertical="center"/>
    </xf>
    <xf numFmtId="0" fontId="24" fillId="0" borderId="0" xfId="0" applyFont="1" applyAlignment="1">
      <alignment horizontal="center" vertical="center"/>
    </xf>
    <xf numFmtId="0" fontId="11" fillId="9" borderId="0" xfId="0" applyFont="1" applyFill="1"/>
    <xf numFmtId="0" fontId="11" fillId="9" borderId="0" xfId="0" applyFont="1" applyFill="1" applyAlignment="1">
      <alignment horizontal="left" vertical="center" wrapText="1"/>
    </xf>
    <xf numFmtId="0" fontId="11" fillId="9" borderId="0" xfId="0" applyFont="1" applyFill="1" applyAlignment="1">
      <alignment horizontal="left"/>
    </xf>
    <xf numFmtId="0" fontId="10" fillId="9" borderId="0" xfId="0" applyFont="1" applyFill="1" applyAlignment="1">
      <alignment horizontal="left" vertical="center" wrapText="1"/>
    </xf>
    <xf numFmtId="0" fontId="25" fillId="9" borderId="0" xfId="0" applyFont="1" applyFill="1" applyAlignment="1">
      <alignment horizontal="center" vertical="center"/>
    </xf>
    <xf numFmtId="0" fontId="3" fillId="9" borderId="0" xfId="0" applyFont="1" applyFill="1" applyAlignment="1">
      <alignment horizontal="center" vertical="center"/>
    </xf>
    <xf numFmtId="0" fontId="26" fillId="9" borderId="0" xfId="0" applyFont="1" applyFill="1" applyAlignment="1">
      <alignment horizontal="center" vertical="center"/>
    </xf>
    <xf numFmtId="0" fontId="27" fillId="9" borderId="0" xfId="0" applyFont="1" applyFill="1" applyAlignment="1">
      <alignment horizontal="center" vertical="center"/>
    </xf>
    <xf numFmtId="0" fontId="27" fillId="9" borderId="0" xfId="0" applyFont="1" applyFill="1" applyAlignment="1">
      <alignment horizontal="left" vertical="top"/>
    </xf>
    <xf numFmtId="0" fontId="10" fillId="9" borderId="0" xfId="0" applyFont="1" applyFill="1" applyAlignment="1">
      <alignment horizontal="left"/>
    </xf>
    <xf numFmtId="0" fontId="11" fillId="9" borderId="0" xfId="0" applyFont="1" applyFill="1" applyAlignment="1">
      <alignment vertical="center" wrapText="1"/>
    </xf>
    <xf numFmtId="0" fontId="41" fillId="11" borderId="6" xfId="0" applyFont="1" applyFill="1" applyBorder="1" applyAlignment="1">
      <alignment horizontal="center" vertical="center"/>
    </xf>
    <xf numFmtId="0" fontId="41" fillId="11" borderId="18" xfId="0" applyFont="1" applyFill="1" applyBorder="1" applyAlignment="1">
      <alignment horizontal="center"/>
    </xf>
    <xf numFmtId="0" fontId="41" fillId="11" borderId="18" xfId="0" applyFont="1" applyFill="1" applyBorder="1" applyAlignment="1">
      <alignment horizontal="center" vertical="center"/>
    </xf>
    <xf numFmtId="0" fontId="41" fillId="11" borderId="4" xfId="0" applyFont="1" applyFill="1" applyBorder="1" applyAlignment="1">
      <alignment horizontal="center"/>
    </xf>
    <xf numFmtId="14" fontId="0" fillId="10" borderId="3" xfId="0" applyNumberFormat="1" applyFill="1" applyBorder="1" applyAlignment="1">
      <alignment horizontal="center" vertical="center"/>
    </xf>
    <xf numFmtId="0" fontId="0" fillId="10" borderId="16" xfId="0" applyFill="1" applyBorder="1" applyAlignment="1">
      <alignment horizontal="center" vertical="center"/>
    </xf>
    <xf numFmtId="0" fontId="0" fillId="10" borderId="16" xfId="0" applyFill="1" applyBorder="1" applyAlignment="1">
      <alignment horizontal="left" vertical="center"/>
    </xf>
    <xf numFmtId="0" fontId="0" fillId="10" borderId="16" xfId="0" applyFill="1" applyBorder="1" applyAlignment="1">
      <alignment horizontal="left" vertical="center" wrapText="1"/>
    </xf>
    <xf numFmtId="0" fontId="0" fillId="10" borderId="1" xfId="0" applyFill="1" applyBorder="1" applyAlignment="1">
      <alignment horizontal="left" vertical="center" wrapText="1"/>
    </xf>
    <xf numFmtId="0" fontId="0" fillId="0" borderId="0" xfId="0" applyAlignment="1">
      <alignment wrapText="1"/>
    </xf>
    <xf numFmtId="0" fontId="0" fillId="0" borderId="0" xfId="0" applyAlignment="1">
      <alignment vertical="center"/>
    </xf>
    <xf numFmtId="0" fontId="0" fillId="0" borderId="10" xfId="0" applyBorder="1"/>
    <xf numFmtId="0" fontId="44" fillId="0" borderId="10" xfId="0" applyFont="1" applyBorder="1" applyAlignment="1">
      <alignment horizontal="center" vertical="center"/>
    </xf>
    <xf numFmtId="15" fontId="44" fillId="0" borderId="10" xfId="0" applyNumberFormat="1" applyFont="1" applyBorder="1" applyAlignment="1">
      <alignment horizontal="center" vertical="center"/>
    </xf>
    <xf numFmtId="14" fontId="11" fillId="0" borderId="10" xfId="0" applyNumberFormat="1" applyFont="1" applyBorder="1"/>
    <xf numFmtId="0" fontId="6" fillId="0" borderId="0" xfId="0" applyFont="1" applyAlignment="1">
      <alignment horizontal="center" vertical="center" wrapText="1"/>
    </xf>
    <xf numFmtId="15" fontId="11" fillId="0" borderId="0" xfId="0" applyNumberFormat="1" applyFont="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10" borderId="17" xfId="0" applyFill="1" applyBorder="1" applyAlignment="1">
      <alignment horizontal="left" vertical="center" wrapText="1"/>
    </xf>
    <xf numFmtId="3" fontId="0" fillId="0" borderId="0" xfId="0" applyNumberFormat="1"/>
    <xf numFmtId="0" fontId="52" fillId="14" borderId="21" xfId="0" applyFont="1" applyFill="1" applyBorder="1" applyAlignment="1">
      <alignment horizontal="center" vertical="center" wrapText="1"/>
    </xf>
    <xf numFmtId="0" fontId="52" fillId="14" borderId="25" xfId="0" applyFont="1" applyFill="1" applyBorder="1" applyAlignment="1">
      <alignment horizontal="center" vertical="center" wrapText="1"/>
    </xf>
    <xf numFmtId="10" fontId="11" fillId="9" borderId="25" xfId="0" applyNumberFormat="1" applyFont="1" applyFill="1" applyBorder="1" applyAlignment="1">
      <alignment horizontal="center" vertical="center"/>
    </xf>
    <xf numFmtId="0" fontId="11" fillId="9" borderId="27" xfId="0" applyFont="1" applyFill="1" applyBorder="1" applyAlignment="1">
      <alignment horizontal="center" vertical="center"/>
    </xf>
    <xf numFmtId="0" fontId="41" fillId="11" borderId="10" xfId="0" applyFont="1" applyFill="1" applyBorder="1" applyAlignment="1">
      <alignment horizontal="center"/>
    </xf>
    <xf numFmtId="3" fontId="41" fillId="11" borderId="10" xfId="0" applyNumberFormat="1" applyFont="1" applyFill="1" applyBorder="1" applyAlignment="1">
      <alignment horizontal="center"/>
    </xf>
    <xf numFmtId="0" fontId="49" fillId="0" borderId="10" xfId="0" applyFont="1" applyBorder="1"/>
    <xf numFmtId="0" fontId="53" fillId="11" borderId="10" xfId="0" applyFont="1" applyFill="1" applyBorder="1" applyAlignment="1">
      <alignment horizontal="center"/>
    </xf>
    <xf numFmtId="0" fontId="51" fillId="0" borderId="10" xfId="0" applyFont="1" applyBorder="1"/>
    <xf numFmtId="0" fontId="41" fillId="0" borderId="0" xfId="0" applyFont="1" applyAlignment="1">
      <alignment horizontal="center"/>
    </xf>
    <xf numFmtId="3" fontId="49" fillId="0" borderId="10" xfId="0" applyNumberFormat="1" applyFont="1" applyBorder="1" applyAlignment="1">
      <alignment horizontal="center"/>
    </xf>
    <xf numFmtId="0" fontId="0" fillId="0" borderId="10" xfId="0" applyBorder="1" applyAlignment="1">
      <alignment horizontal="center"/>
    </xf>
    <xf numFmtId="0" fontId="51" fillId="0" borderId="10" xfId="0" applyFont="1" applyBorder="1" applyAlignment="1">
      <alignment horizontal="center" vertical="center"/>
    </xf>
    <xf numFmtId="0" fontId="42" fillId="16" borderId="0" xfId="0" applyFont="1" applyFill="1" applyAlignment="1">
      <alignment horizontal="center" vertical="center"/>
    </xf>
    <xf numFmtId="0" fontId="42" fillId="15" borderId="0" xfId="0" applyFont="1" applyFill="1" applyAlignment="1">
      <alignment horizontal="center" vertical="center"/>
    </xf>
    <xf numFmtId="0" fontId="42" fillId="0" borderId="0" xfId="0" applyFont="1"/>
    <xf numFmtId="0" fontId="42" fillId="0" borderId="0" xfId="0" applyFont="1" applyAlignment="1">
      <alignment horizontal="center" vertical="center"/>
    </xf>
    <xf numFmtId="0" fontId="54" fillId="0" borderId="0" xfId="0" applyFont="1"/>
    <xf numFmtId="164" fontId="42" fillId="16" borderId="0" xfId="0" applyNumberFormat="1" applyFont="1" applyFill="1" applyAlignment="1">
      <alignment horizontal="center" vertical="center"/>
    </xf>
    <xf numFmtId="164" fontId="42" fillId="15" borderId="0" xfId="0" applyNumberFormat="1" applyFont="1" applyFill="1" applyAlignment="1">
      <alignment horizontal="center" vertical="center"/>
    </xf>
    <xf numFmtId="3" fontId="42" fillId="0" borderId="0" xfId="0" applyNumberFormat="1" applyFont="1" applyAlignment="1">
      <alignment horizontal="center" vertical="center"/>
    </xf>
    <xf numFmtId="0" fontId="55" fillId="11" borderId="10" xfId="0" applyFont="1" applyFill="1" applyBorder="1" applyAlignment="1">
      <alignment horizontal="center"/>
    </xf>
    <xf numFmtId="14" fontId="11" fillId="0" borderId="10" xfId="0" applyNumberFormat="1" applyFont="1" applyBorder="1" applyAlignment="1">
      <alignment horizontal="center" vertical="center"/>
    </xf>
    <xf numFmtId="0" fontId="0" fillId="0" borderId="10" xfId="0" applyBorder="1" applyAlignment="1">
      <alignment horizontal="center" vertical="center" wrapText="1"/>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0" xfId="0" applyBorder="1" applyAlignment="1">
      <alignment wrapText="1"/>
    </xf>
    <xf numFmtId="0" fontId="0" fillId="0" borderId="10" xfId="0" applyBorder="1" applyAlignment="1">
      <alignment horizontal="center" wrapText="1"/>
    </xf>
    <xf numFmtId="14" fontId="0" fillId="0" borderId="10" xfId="0" applyNumberFormat="1" applyBorder="1"/>
    <xf numFmtId="164" fontId="0" fillId="10" borderId="17" xfId="0" quotePrefix="1" applyNumberFormat="1" applyFill="1" applyBorder="1" applyAlignment="1">
      <alignment horizontal="left" vertical="center" wrapText="1"/>
    </xf>
    <xf numFmtId="164" fontId="42" fillId="9" borderId="0" xfId="0" applyNumberFormat="1" applyFont="1" applyFill="1" applyAlignment="1">
      <alignment horizontal="center" vertical="center"/>
    </xf>
    <xf numFmtId="0" fontId="42" fillId="9" borderId="0" xfId="0" applyFont="1" applyFill="1" applyAlignment="1">
      <alignment horizontal="center" vertical="center"/>
    </xf>
    <xf numFmtId="0" fontId="61" fillId="13" borderId="10" xfId="0" applyFont="1" applyFill="1" applyBorder="1" applyAlignment="1">
      <alignment horizontal="center" vertical="center" wrapText="1"/>
    </xf>
    <xf numFmtId="0" fontId="60" fillId="17" borderId="3" xfId="0" applyFont="1" applyFill="1" applyBorder="1" applyAlignment="1">
      <alignment horizontal="center" vertical="center" wrapText="1"/>
    </xf>
    <xf numFmtId="0" fontId="60" fillId="17" borderId="16" xfId="0" applyFont="1" applyFill="1" applyBorder="1" applyAlignment="1">
      <alignment horizontal="center" vertical="center" wrapText="1"/>
    </xf>
    <xf numFmtId="0" fontId="0" fillId="11" borderId="0" xfId="0" applyFill="1" applyAlignment="1">
      <alignment horizontal="center" vertical="center"/>
    </xf>
    <xf numFmtId="1" fontId="0" fillId="10" borderId="0" xfId="0" applyNumberFormat="1" applyFill="1" applyAlignment="1">
      <alignment horizontal="center" vertical="center"/>
    </xf>
    <xf numFmtId="15" fontId="44" fillId="0" borderId="9" xfId="0" applyNumberFormat="1" applyFont="1" applyBorder="1" applyAlignment="1">
      <alignment horizontal="center" vertical="center"/>
    </xf>
    <xf numFmtId="0" fontId="44" fillId="0" borderId="9" xfId="0" applyFont="1" applyBorder="1" applyAlignment="1">
      <alignment horizontal="center" vertical="center"/>
    </xf>
    <xf numFmtId="0" fontId="44" fillId="0" borderId="9" xfId="0" applyFont="1" applyBorder="1" applyAlignment="1">
      <alignment horizontal="center" vertical="center" wrapText="1"/>
    </xf>
    <xf numFmtId="0" fontId="0" fillId="0" borderId="10" xfId="0" applyBorder="1" applyAlignment="1">
      <alignment vertical="center" wrapText="1"/>
    </xf>
    <xf numFmtId="0" fontId="0" fillId="0" borderId="10" xfId="0" applyBorder="1" applyAlignment="1">
      <alignment horizontal="left" vertical="center" wrapText="1"/>
    </xf>
    <xf numFmtId="0" fontId="19" fillId="0" borderId="13" xfId="0" applyFont="1" applyBorder="1" applyAlignment="1">
      <alignment horizontal="center" vertical="center"/>
    </xf>
    <xf numFmtId="0" fontId="5" fillId="0" borderId="14" xfId="0" applyFont="1" applyBorder="1" applyAlignment="1">
      <alignment horizontal="center" vertical="center"/>
    </xf>
    <xf numFmtId="0" fontId="20" fillId="0" borderId="15" xfId="0" applyFont="1" applyBorder="1" applyAlignment="1">
      <alignment horizontal="center" vertical="center"/>
    </xf>
    <xf numFmtId="0" fontId="44" fillId="0" borderId="9" xfId="0" applyFont="1" applyBorder="1" applyAlignment="1">
      <alignment horizontal="left" vertical="center" wrapText="1"/>
    </xf>
    <xf numFmtId="0" fontId="65" fillId="0" borderId="0" xfId="2" applyAlignment="1">
      <alignment horizontal="center" vertical="center" wrapText="1"/>
    </xf>
    <xf numFmtId="0" fontId="66" fillId="0" borderId="10" xfId="0" applyFont="1" applyBorder="1" applyAlignment="1">
      <alignment horizontal="center" vertical="center"/>
    </xf>
    <xf numFmtId="0" fontId="5" fillId="0" borderId="34" xfId="0" applyFont="1" applyBorder="1" applyAlignment="1">
      <alignment horizontal="center" vertical="center"/>
    </xf>
    <xf numFmtId="0" fontId="33" fillId="0" borderId="0" xfId="0" applyFont="1" applyAlignment="1">
      <alignment horizontal="left" vertical="center" wrapText="1"/>
    </xf>
    <xf numFmtId="0" fontId="33" fillId="0" borderId="12" xfId="0" applyFont="1" applyBorder="1" applyAlignment="1">
      <alignment horizontal="left" vertical="center" wrapText="1"/>
    </xf>
    <xf numFmtId="0" fontId="43" fillId="0" borderId="0" xfId="0" applyFont="1" applyAlignment="1">
      <alignment horizontal="left" vertical="center" wrapText="1"/>
    </xf>
    <xf numFmtId="0" fontId="4" fillId="7" borderId="7" xfId="0" applyFont="1" applyFill="1" applyBorder="1" applyAlignment="1">
      <alignment horizontal="left" vertical="center" wrapText="1"/>
    </xf>
    <xf numFmtId="0" fontId="4" fillId="7" borderId="8" xfId="0" applyFont="1" applyFill="1" applyBorder="1" applyAlignment="1">
      <alignment horizontal="left" vertical="center" wrapText="1"/>
    </xf>
    <xf numFmtId="0" fontId="52" fillId="14" borderId="7" xfId="0" applyFont="1" applyFill="1" applyBorder="1" applyAlignment="1">
      <alignment horizontal="center" vertical="center" wrapText="1"/>
    </xf>
    <xf numFmtId="0" fontId="52" fillId="14" borderId="8" xfId="0" applyFont="1" applyFill="1" applyBorder="1" applyAlignment="1">
      <alignment horizontal="center" vertical="center" wrapText="1"/>
    </xf>
    <xf numFmtId="0" fontId="52" fillId="14" borderId="26" xfId="0" applyFont="1" applyFill="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4" fontId="11" fillId="0" borderId="28" xfId="0" applyNumberFormat="1" applyFont="1" applyBorder="1" applyAlignment="1">
      <alignment horizontal="center" vertical="center"/>
    </xf>
    <xf numFmtId="164" fontId="11" fillId="0" borderId="29" xfId="0" applyNumberFormat="1" applyFont="1" applyBorder="1" applyAlignment="1">
      <alignment horizontal="center" vertical="center"/>
    </xf>
    <xf numFmtId="164" fontId="11" fillId="0" borderId="30" xfId="0" applyNumberFormat="1" applyFont="1" applyBorder="1" applyAlignment="1">
      <alignment horizontal="center" vertical="center"/>
    </xf>
    <xf numFmtId="0" fontId="11" fillId="0" borderId="7" xfId="0" quotePrefix="1" applyFont="1" applyBorder="1" applyAlignment="1">
      <alignment horizontal="center" vertical="center" wrapText="1"/>
    </xf>
    <xf numFmtId="0" fontId="52" fillId="14" borderId="31" xfId="0" applyFont="1" applyFill="1" applyBorder="1" applyAlignment="1">
      <alignment horizontal="center" vertical="center" wrapText="1"/>
    </xf>
    <xf numFmtId="0" fontId="52" fillId="14" borderId="23" xfId="0" applyFont="1" applyFill="1" applyBorder="1" applyAlignment="1">
      <alignment horizontal="center" vertical="center" wrapText="1"/>
    </xf>
    <xf numFmtId="0" fontId="52" fillId="14" borderId="32" xfId="0" applyFont="1" applyFill="1" applyBorder="1" applyAlignment="1">
      <alignment horizontal="center" vertical="center" wrapText="1"/>
    </xf>
    <xf numFmtId="164" fontId="11" fillId="9" borderId="33" xfId="0" applyNumberFormat="1" applyFont="1" applyFill="1" applyBorder="1" applyAlignment="1">
      <alignment horizontal="center" vertical="center"/>
    </xf>
    <xf numFmtId="164" fontId="11" fillId="9" borderId="29" xfId="0" applyNumberFormat="1" applyFont="1" applyFill="1" applyBorder="1" applyAlignment="1">
      <alignment horizontal="center" vertical="center"/>
    </xf>
    <xf numFmtId="164" fontId="11" fillId="9" borderId="30" xfId="0" applyNumberFormat="1" applyFont="1" applyFill="1" applyBorder="1" applyAlignment="1">
      <alignment horizontal="center" vertical="center"/>
    </xf>
    <xf numFmtId="0" fontId="12" fillId="8" borderId="10" xfId="1" applyFont="1" applyFill="1" applyBorder="1" applyAlignment="1">
      <alignment horizontal="center" vertical="center" wrapText="1"/>
    </xf>
    <xf numFmtId="15" fontId="6" fillId="0" borderId="16" xfId="0" applyNumberFormat="1" applyFont="1" applyBorder="1" applyAlignment="1">
      <alignment horizontal="center" vertical="center"/>
    </xf>
    <xf numFmtId="15" fontId="6" fillId="0" borderId="17" xfId="0" applyNumberFormat="1" applyFont="1" applyBorder="1" applyAlignment="1">
      <alignment horizontal="center" vertical="center"/>
    </xf>
    <xf numFmtId="15" fontId="6" fillId="0" borderId="18" xfId="0" applyNumberFormat="1" applyFont="1" applyBorder="1" applyAlignment="1">
      <alignment horizontal="center" vertical="center"/>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0" xfId="0" quotePrefix="1" applyFont="1" applyBorder="1" applyAlignment="1">
      <alignment horizontal="center" vertical="center" wrapText="1"/>
    </xf>
    <xf numFmtId="0" fontId="57" fillId="0" borderId="10" xfId="1" applyFont="1" applyBorder="1" applyAlignment="1">
      <alignment horizontal="center" vertical="center" wrapText="1"/>
    </xf>
    <xf numFmtId="0" fontId="57" fillId="0" borderId="18" xfId="1" applyFont="1" applyBorder="1" applyAlignment="1">
      <alignment horizontal="center" vertical="center" wrapText="1"/>
    </xf>
    <xf numFmtId="0" fontId="35" fillId="3" borderId="10" xfId="1" applyFont="1" applyFill="1" applyBorder="1" applyAlignment="1">
      <alignment horizontal="center" vertical="center" wrapText="1"/>
    </xf>
    <xf numFmtId="0" fontId="56" fillId="0" borderId="10" xfId="1" quotePrefix="1" applyFont="1" applyBorder="1" applyAlignment="1">
      <alignment horizontal="center" vertical="center" wrapText="1"/>
    </xf>
    <xf numFmtId="0" fontId="15" fillId="0" borderId="10" xfId="1" applyFont="1" applyBorder="1" applyAlignment="1">
      <alignment horizontal="center" vertical="center" wrapText="1"/>
    </xf>
    <xf numFmtId="0" fontId="63" fillId="6" borderId="0" xfId="0" applyFont="1" applyFill="1" applyAlignment="1">
      <alignment horizontal="left" vertical="center" wrapText="1"/>
    </xf>
    <xf numFmtId="0" fontId="8" fillId="6" borderId="0" xfId="0" applyFont="1" applyFill="1" applyAlignment="1">
      <alignment horizontal="left" vertical="center" wrapText="1"/>
    </xf>
    <xf numFmtId="0" fontId="18" fillId="0" borderId="1"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29" fillId="0" borderId="0" xfId="0" applyFont="1" applyAlignment="1">
      <alignment horizontal="left" vertical="center"/>
    </xf>
    <xf numFmtId="0" fontId="6" fillId="8" borderId="10" xfId="0" applyFont="1" applyFill="1" applyBorder="1" applyAlignment="1">
      <alignment horizontal="center" vertical="center" wrapText="1"/>
    </xf>
    <xf numFmtId="0" fontId="13" fillId="8" borderId="10" xfId="1" applyFont="1" applyFill="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9" borderId="16"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6" fillId="9" borderId="18" xfId="0" applyFont="1" applyFill="1" applyBorder="1" applyAlignment="1">
      <alignment horizontal="center" vertical="center" wrapText="1"/>
    </xf>
    <xf numFmtId="0" fontId="32" fillId="5" borderId="16" xfId="1" applyFont="1" applyFill="1" applyBorder="1" applyAlignment="1">
      <alignment horizontal="center" vertical="center" wrapText="1"/>
    </xf>
    <xf numFmtId="0" fontId="6" fillId="0" borderId="10" xfId="0" applyFont="1" applyBorder="1" applyAlignment="1">
      <alignment horizontal="center" vertical="center"/>
    </xf>
    <xf numFmtId="16" fontId="6" fillId="0" borderId="16" xfId="0" applyNumberFormat="1" applyFont="1" applyBorder="1" applyAlignment="1">
      <alignment horizontal="center" vertical="center"/>
    </xf>
    <xf numFmtId="0" fontId="1" fillId="2" borderId="0" xfId="0" applyFont="1" applyFill="1" applyAlignment="1">
      <alignment horizontal="center" vertical="center"/>
    </xf>
    <xf numFmtId="0" fontId="14" fillId="3" borderId="16" xfId="1" applyFont="1" applyFill="1" applyBorder="1" applyAlignment="1">
      <alignment horizontal="center" vertical="center" wrapText="1"/>
    </xf>
    <xf numFmtId="0" fontId="11" fillId="0" borderId="10" xfId="0" applyFont="1" applyBorder="1" applyAlignment="1">
      <alignment horizontal="left" vertical="top" wrapText="1"/>
    </xf>
    <xf numFmtId="0" fontId="11" fillId="0" borderId="10" xfId="0" applyFont="1" applyBorder="1" applyAlignment="1">
      <alignment horizontal="left" vertical="top"/>
    </xf>
    <xf numFmtId="0" fontId="11" fillId="0" borderId="16" xfId="0" applyFont="1" applyBorder="1" applyAlignment="1">
      <alignment horizontal="center" vertical="center"/>
    </xf>
    <xf numFmtId="0" fontId="11" fillId="0" borderId="18" xfId="0" applyFont="1" applyBorder="1" applyAlignment="1">
      <alignment horizontal="center" vertical="center"/>
    </xf>
    <xf numFmtId="0" fontId="11" fillId="9" borderId="1" xfId="0" applyFont="1" applyFill="1" applyBorder="1" applyAlignment="1">
      <alignment horizontal="left" vertical="center"/>
    </xf>
    <xf numFmtId="0" fontId="11" fillId="9" borderId="2" xfId="0" applyFont="1" applyFill="1" applyBorder="1" applyAlignment="1">
      <alignment horizontal="left" vertical="center"/>
    </xf>
    <xf numFmtId="0" fontId="11" fillId="9" borderId="3" xfId="0" applyFont="1" applyFill="1" applyBorder="1" applyAlignment="1">
      <alignment horizontal="left" vertical="center"/>
    </xf>
    <xf numFmtId="0" fontId="11" fillId="9" borderId="4" xfId="0" applyFont="1" applyFill="1" applyBorder="1" applyAlignment="1">
      <alignment horizontal="left" vertical="center"/>
    </xf>
    <xf numFmtId="0" fontId="11" fillId="9" borderId="5" xfId="0" applyFont="1" applyFill="1" applyBorder="1" applyAlignment="1">
      <alignment horizontal="left" vertical="center"/>
    </xf>
    <xf numFmtId="0" fontId="11" fillId="9" borderId="6" xfId="0" applyFont="1" applyFill="1" applyBorder="1" applyAlignment="1">
      <alignment horizontal="left" vertical="center"/>
    </xf>
    <xf numFmtId="14" fontId="11" fillId="9" borderId="1" xfId="0" applyNumberFormat="1" applyFont="1" applyFill="1" applyBorder="1" applyAlignment="1">
      <alignment horizontal="left" vertical="center"/>
    </xf>
    <xf numFmtId="14" fontId="11" fillId="9" borderId="2" xfId="0" applyNumberFormat="1" applyFont="1" applyFill="1" applyBorder="1" applyAlignment="1">
      <alignment horizontal="left" vertical="center"/>
    </xf>
    <xf numFmtId="14" fontId="11" fillId="9" borderId="3" xfId="0" applyNumberFormat="1" applyFont="1" applyFill="1" applyBorder="1" applyAlignment="1">
      <alignment horizontal="left" vertical="center"/>
    </xf>
    <xf numFmtId="14" fontId="11" fillId="9" borderId="4" xfId="0" applyNumberFormat="1" applyFont="1" applyFill="1" applyBorder="1" applyAlignment="1">
      <alignment horizontal="left" vertical="center"/>
    </xf>
    <xf numFmtId="14" fontId="11" fillId="9" borderId="5" xfId="0" applyNumberFormat="1" applyFont="1" applyFill="1" applyBorder="1" applyAlignment="1">
      <alignment horizontal="left" vertical="center"/>
    </xf>
    <xf numFmtId="14" fontId="11" fillId="9" borderId="6" xfId="0" applyNumberFormat="1" applyFont="1" applyFill="1" applyBorder="1" applyAlignment="1">
      <alignment horizontal="left" vertical="center"/>
    </xf>
    <xf numFmtId="0" fontId="11" fillId="9" borderId="10" xfId="0" applyFont="1" applyFill="1" applyBorder="1" applyAlignment="1">
      <alignment horizontal="center" vertical="center" wrapText="1"/>
    </xf>
    <xf numFmtId="0" fontId="11" fillId="0" borderId="9" xfId="0" applyFont="1" applyBorder="1" applyAlignment="1">
      <alignment horizontal="center" vertical="center" wrapText="1"/>
    </xf>
    <xf numFmtId="0" fontId="56" fillId="9" borderId="10" xfId="1" applyFont="1" applyFill="1" applyBorder="1" applyAlignment="1">
      <alignment horizontal="center" vertical="center" wrapText="1"/>
    </xf>
    <xf numFmtId="0" fontId="56" fillId="9" borderId="10" xfId="1" quotePrefix="1" applyFont="1" applyFill="1" applyBorder="1" applyAlignment="1">
      <alignment horizontal="center" vertical="center" wrapText="1"/>
    </xf>
    <xf numFmtId="0" fontId="14" fillId="7" borderId="7" xfId="1" applyFont="1" applyFill="1" applyBorder="1" applyAlignment="1">
      <alignment horizontal="center" vertical="center" wrapText="1"/>
    </xf>
    <xf numFmtId="0" fontId="14" fillId="7" borderId="8" xfId="1" applyFont="1" applyFill="1" applyBorder="1" applyAlignment="1">
      <alignment horizontal="center" vertical="center" wrapText="1"/>
    </xf>
    <xf numFmtId="0" fontId="14" fillId="7" borderId="9" xfId="1" applyFont="1" applyFill="1" applyBorder="1" applyAlignment="1">
      <alignment horizontal="center" vertical="center" wrapText="1"/>
    </xf>
    <xf numFmtId="1" fontId="11" fillId="9" borderId="10" xfId="0" applyNumberFormat="1" applyFont="1" applyFill="1" applyBorder="1" applyAlignment="1">
      <alignment horizontal="center" vertical="center" wrapText="1"/>
    </xf>
    <xf numFmtId="0" fontId="58" fillId="0" borderId="10" xfId="1" applyFont="1" applyBorder="1" applyAlignment="1">
      <alignment horizontal="left" vertical="top" wrapText="1"/>
    </xf>
    <xf numFmtId="0" fontId="30" fillId="0" borderId="16" xfId="1" applyFont="1" applyBorder="1" applyAlignment="1">
      <alignment horizontal="left" vertical="center" wrapText="1"/>
    </xf>
    <xf numFmtId="0" fontId="17" fillId="3" borderId="7" xfId="1" applyFont="1" applyFill="1" applyBorder="1" applyAlignment="1">
      <alignment horizontal="center" vertical="center" wrapText="1"/>
    </xf>
    <xf numFmtId="0" fontId="17" fillId="3" borderId="8" xfId="1" applyFont="1" applyFill="1" applyBorder="1" applyAlignment="1">
      <alignment horizontal="center" vertical="center" wrapText="1"/>
    </xf>
    <xf numFmtId="0" fontId="17" fillId="3" borderId="9" xfId="1" applyFont="1" applyFill="1" applyBorder="1" applyAlignment="1">
      <alignment horizontal="center" vertical="center" wrapText="1"/>
    </xf>
    <xf numFmtId="0" fontId="31" fillId="0" borderId="7" xfId="1" applyFont="1" applyBorder="1" applyAlignment="1">
      <alignment horizontal="left" vertical="center" wrapText="1"/>
    </xf>
    <xf numFmtId="0" fontId="30" fillId="0" borderId="8" xfId="1" applyFont="1" applyBorder="1" applyAlignment="1">
      <alignment horizontal="left" vertical="center" wrapText="1"/>
    </xf>
    <xf numFmtId="0" fontId="30" fillId="0" borderId="9" xfId="1" applyFont="1" applyBorder="1" applyAlignment="1">
      <alignment horizontal="left" vertical="center" wrapText="1"/>
    </xf>
    <xf numFmtId="0" fontId="31" fillId="0" borderId="16" xfId="1" applyFont="1" applyBorder="1" applyAlignment="1">
      <alignment horizontal="left" vertical="center" wrapText="1"/>
    </xf>
    <xf numFmtId="0" fontId="32" fillId="5" borderId="1" xfId="1" applyFont="1" applyFill="1" applyBorder="1" applyAlignment="1">
      <alignment horizontal="center" vertical="center" wrapText="1"/>
    </xf>
    <xf numFmtId="0" fontId="30" fillId="0" borderId="10" xfId="1" applyFont="1" applyBorder="1" applyAlignment="1">
      <alignment horizontal="left" vertical="center" wrapText="1"/>
    </xf>
    <xf numFmtId="0" fontId="33" fillId="0" borderId="10" xfId="1" quotePrefix="1" applyFont="1" applyBorder="1" applyAlignment="1">
      <alignment horizontal="center" vertical="center" wrapText="1"/>
    </xf>
    <xf numFmtId="0" fontId="33" fillId="0" borderId="10" xfId="1" applyFont="1" applyBorder="1" applyAlignment="1">
      <alignment horizontal="center" vertical="center" wrapText="1"/>
    </xf>
    <xf numFmtId="0" fontId="57" fillId="0" borderId="10" xfId="1" quotePrefix="1" applyFont="1" applyBorder="1" applyAlignment="1">
      <alignment horizontal="center" vertical="center" wrapText="1"/>
    </xf>
    <xf numFmtId="0" fontId="13" fillId="0" borderId="10" xfId="1" applyFont="1" applyBorder="1" applyAlignment="1">
      <alignment horizontal="left" vertical="center" wrapText="1"/>
    </xf>
    <xf numFmtId="0" fontId="56" fillId="0" borderId="10" xfId="1" applyFont="1" applyBorder="1" applyAlignment="1">
      <alignment horizontal="center" vertical="center" wrapText="1"/>
    </xf>
    <xf numFmtId="0" fontId="12" fillId="0" borderId="0" xfId="1" applyFont="1" applyAlignment="1">
      <alignment horizontal="center" vertical="center" wrapText="1"/>
    </xf>
    <xf numFmtId="0" fontId="17" fillId="3" borderId="10" xfId="1" applyFont="1" applyFill="1" applyBorder="1" applyAlignment="1">
      <alignment horizontal="center" vertical="center" wrapText="1"/>
    </xf>
    <xf numFmtId="0" fontId="32" fillId="5" borderId="19" xfId="1" applyFont="1" applyFill="1" applyBorder="1" applyAlignment="1">
      <alignment horizontal="center" vertical="center" wrapText="1"/>
    </xf>
    <xf numFmtId="0" fontId="32" fillId="5" borderId="20" xfId="1" applyFont="1" applyFill="1" applyBorder="1" applyAlignment="1">
      <alignment horizontal="center" vertical="center" wrapText="1"/>
    </xf>
    <xf numFmtId="0" fontId="4" fillId="4" borderId="7"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9" xfId="0" applyFont="1" applyFill="1" applyBorder="1" applyAlignment="1">
      <alignment horizontal="left" vertical="center" wrapText="1"/>
    </xf>
    <xf numFmtId="0" fontId="11" fillId="9" borderId="10" xfId="0" applyFont="1" applyFill="1" applyBorder="1" applyAlignment="1">
      <alignment horizontal="left" vertical="center" wrapText="1"/>
    </xf>
    <xf numFmtId="0" fontId="21" fillId="4" borderId="7"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21" fillId="4" borderId="7" xfId="0" applyFont="1" applyFill="1" applyBorder="1" applyAlignment="1">
      <alignment horizontal="left" vertical="center" wrapText="1"/>
    </xf>
    <xf numFmtId="0" fontId="21" fillId="4" borderId="8" xfId="0" applyFont="1" applyFill="1" applyBorder="1" applyAlignment="1">
      <alignment horizontal="left" vertical="center" wrapText="1"/>
    </xf>
    <xf numFmtId="0" fontId="21" fillId="4" borderId="9" xfId="0" applyFont="1" applyFill="1" applyBorder="1" applyAlignment="1">
      <alignment horizontal="left" vertical="center" wrapText="1"/>
    </xf>
    <xf numFmtId="0" fontId="11" fillId="9" borderId="7"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0" fillId="0" borderId="7" xfId="0" applyFont="1" applyBorder="1" applyAlignment="1">
      <alignment horizontal="center" vertical="center"/>
    </xf>
    <xf numFmtId="0" fontId="10" fillId="0" borderId="9" xfId="0" applyFont="1" applyBorder="1" applyAlignment="1">
      <alignment horizontal="center" vertical="center"/>
    </xf>
    <xf numFmtId="0" fontId="6" fillId="0" borderId="10" xfId="0" applyFont="1" applyBorder="1" applyAlignment="1">
      <alignment horizontal="center"/>
    </xf>
    <xf numFmtId="0" fontId="11" fillId="9" borderId="7" xfId="0" applyFont="1" applyFill="1" applyBorder="1" applyAlignment="1">
      <alignment horizontal="left" vertical="center" wrapText="1"/>
    </xf>
    <xf numFmtId="0" fontId="11" fillId="9" borderId="8" xfId="0" applyFont="1" applyFill="1" applyBorder="1" applyAlignment="1">
      <alignment horizontal="left" vertical="center" wrapText="1"/>
    </xf>
    <xf numFmtId="0" fontId="11" fillId="9" borderId="9" xfId="0" applyFont="1" applyFill="1" applyBorder="1" applyAlignment="1">
      <alignment horizontal="left" vertical="center" wrapText="1"/>
    </xf>
    <xf numFmtId="0" fontId="4" fillId="7" borderId="26" xfId="0" applyFont="1" applyFill="1" applyBorder="1" applyAlignment="1">
      <alignment horizontal="left" vertical="center" wrapText="1"/>
    </xf>
    <xf numFmtId="0" fontId="52" fillId="14" borderId="22" xfId="0" applyFont="1" applyFill="1" applyBorder="1" applyAlignment="1">
      <alignment horizontal="center" vertical="center" wrapText="1"/>
    </xf>
    <xf numFmtId="0" fontId="52" fillId="14" borderId="24" xfId="0" applyFont="1" applyFill="1" applyBorder="1" applyAlignment="1">
      <alignment horizontal="center" vertical="center" wrapText="1"/>
    </xf>
    <xf numFmtId="0" fontId="11" fillId="0" borderId="8" xfId="0" quotePrefix="1" applyFont="1" applyBorder="1" applyAlignment="1">
      <alignment horizontal="center" vertical="center" wrapText="1"/>
    </xf>
    <xf numFmtId="164" fontId="11" fillId="0" borderId="7" xfId="0" applyNumberFormat="1" applyFont="1" applyBorder="1" applyAlignment="1">
      <alignment horizontal="center" vertical="center"/>
    </xf>
    <xf numFmtId="164" fontId="11" fillId="0" borderId="8" xfId="0" applyNumberFormat="1" applyFont="1" applyBorder="1" applyAlignment="1">
      <alignment horizontal="center" vertical="center"/>
    </xf>
    <xf numFmtId="164" fontId="11" fillId="0" borderId="26" xfId="0" applyNumberFormat="1" applyFont="1" applyBorder="1" applyAlignment="1">
      <alignment horizontal="center" vertical="center"/>
    </xf>
    <xf numFmtId="0" fontId="8" fillId="6" borderId="5" xfId="0" applyFont="1" applyFill="1" applyBorder="1" applyAlignment="1">
      <alignment horizontal="left" vertical="center" wrapText="1"/>
    </xf>
    <xf numFmtId="0" fontId="36" fillId="6" borderId="0" xfId="0" applyFont="1" applyFill="1" applyAlignment="1">
      <alignment horizontal="left" vertical="center" wrapText="1"/>
    </xf>
    <xf numFmtId="0" fontId="38" fillId="7" borderId="10" xfId="0" applyFont="1" applyFill="1" applyBorder="1" applyAlignment="1">
      <alignment horizontal="center" vertical="center" wrapText="1"/>
    </xf>
    <xf numFmtId="0" fontId="42" fillId="12" borderId="10" xfId="0" applyFont="1" applyFill="1" applyBorder="1" applyAlignment="1">
      <alignment horizontal="left"/>
    </xf>
    <xf numFmtId="3" fontId="41" fillId="11" borderId="7" xfId="0" applyNumberFormat="1" applyFont="1" applyFill="1" applyBorder="1" applyAlignment="1">
      <alignment horizontal="center"/>
    </xf>
    <xf numFmtId="3" fontId="41" fillId="11" borderId="8" xfId="0" applyNumberFormat="1" applyFont="1" applyFill="1" applyBorder="1" applyAlignment="1">
      <alignment horizontal="center"/>
    </xf>
    <xf numFmtId="3" fontId="41" fillId="11" borderId="9" xfId="0" applyNumberFormat="1" applyFont="1" applyFill="1" applyBorder="1" applyAlignment="1">
      <alignment horizontal="center"/>
    </xf>
    <xf numFmtId="0" fontId="41" fillId="11" borderId="4" xfId="0" applyFont="1" applyFill="1" applyBorder="1" applyAlignment="1">
      <alignment horizontal="center"/>
    </xf>
    <xf numFmtId="0" fontId="41" fillId="11" borderId="5" xfId="0" applyFont="1" applyFill="1" applyBorder="1" applyAlignment="1">
      <alignment horizont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cellXfs>
  <cellStyles count="3">
    <cellStyle name="Hyperlink" xfId="2" builtinId="8"/>
    <cellStyle name="Normal" xfId="0" builtinId="0"/>
    <cellStyle name="Normal 2" xfId="1" xr:uid="{00000000-0005-0000-0000-000002000000}"/>
  </cellStyles>
  <dxfs count="29">
    <dxf>
      <numFmt numFmtId="1" formatCode="0"/>
      <fill>
        <patternFill patternType="solid">
          <fgColor indexed="64"/>
          <bgColor theme="0"/>
        </patternFill>
      </fill>
      <alignment horizontal="center" vertical="center" textRotation="0" wrapText="0" indent="0" justifyLastLine="0" shrinkToFit="0" readingOrder="0"/>
    </dxf>
    <dxf>
      <numFmt numFmtId="1" formatCode="0"/>
      <fill>
        <patternFill patternType="solid">
          <fgColor indexed="64"/>
          <bgColor theme="0"/>
        </patternFill>
      </fill>
      <alignment horizontal="center" vertical="center" textRotation="0" wrapText="0" indent="0" justifyLastLine="0" shrinkToFit="0" readingOrder="0"/>
    </dxf>
    <dxf>
      <fill>
        <patternFill patternType="solid">
          <fgColor indexed="64"/>
          <bgColor rgb="FF7030A0"/>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left/>
        <right style="thin">
          <color auto="1"/>
        </right>
        <top style="thin">
          <color auto="1"/>
        </top>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theme="0"/>
        <name val="Calibri"/>
        <scheme val="minor"/>
      </font>
      <fill>
        <patternFill patternType="solid">
          <fgColor indexed="64"/>
          <bgColor rgb="FF7030A0"/>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Invisible" pivot="0" table="0" count="0" xr9:uid="{00000000-0011-0000-FFFF-FFFF00000000}"/>
  </tableStyles>
  <colors>
    <mruColors>
      <color rgb="FFA20000"/>
      <color rgb="FF8A0000"/>
      <color rgb="FF0064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79</xdr:row>
      <xdr:rowOff>246529</xdr:rowOff>
    </xdr:from>
    <xdr:to>
      <xdr:col>4</xdr:col>
      <xdr:colOff>201384</xdr:colOff>
      <xdr:row>82</xdr:row>
      <xdr:rowOff>141444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60537" y="25000323"/>
          <a:ext cx="949376" cy="937061"/>
        </a:xfrm>
        <a:prstGeom prst="rect">
          <a:avLst/>
        </a:prstGeom>
      </xdr:spPr>
    </xdr:pic>
    <xdr:clientData/>
  </xdr:twoCellAnchor>
  <xdr:twoCellAnchor editAs="oneCell">
    <xdr:from>
      <xdr:col>1</xdr:col>
      <xdr:colOff>104775</xdr:colOff>
      <xdr:row>0</xdr:row>
      <xdr:rowOff>104775</xdr:rowOff>
    </xdr:from>
    <xdr:to>
      <xdr:col>4</xdr:col>
      <xdr:colOff>258534</xdr:colOff>
      <xdr:row>2</xdr:row>
      <xdr:rowOff>151513</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a:stretch>
          <a:fillRect/>
        </a:stretch>
      </xdr:blipFill>
      <xdr:spPr>
        <a:xfrm>
          <a:off x="314325" y="104775"/>
          <a:ext cx="952499" cy="9325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yoffice.conagrafoods.net/rqi/rtmopdad/Document%20Repository/CIL%20Template.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Unique%20Problem%20Solving%20tool-v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sskmkrashare.id.pmi\AdminSPM$\TS%20SPM\02.%20PM%20PILLAR\05.%20MP&amp;S\2023\Wave_2\11%20-MPS%20board%20Rev.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bdc-mes001.na.pg.com:8000/Documents%20and%20Settings/TF1029/My%20Documents/6-Tps/5.Training%20material/5.Problem%20Solving/4.Problem%20solving%20simple/Cause_and_Effect_Workbook%20Renew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s"/>
      <sheetName val="Push Button Commands"/>
      <sheetName val="Copyright"/>
      <sheetName val="Instructions"/>
      <sheetName val="CustomTools"/>
      <sheetName val="dlgLineInputCode"/>
      <sheetName val="Misc Code"/>
      <sheetName val="Input"/>
      <sheetName val="InputCopy"/>
      <sheetName val="CreateCopyMacro"/>
      <sheetName val="ScheduleTemplate"/>
      <sheetName val="Language"/>
      <sheetName val="Language Change Code"/>
      <sheetName val="Startup"/>
      <sheetName val="dlgLineInput"/>
      <sheetName val="dlgGetType"/>
      <sheetName val="dlgGetFrequency"/>
      <sheetName val="dlgGetTime"/>
      <sheetName val="dlgGetMonthYear"/>
      <sheetName val="dlgCILPrint"/>
      <sheetName val="dlgScheduleSetupDays"/>
      <sheetName val="Dates"/>
      <sheetName val="dlgSetup"/>
      <sheetName val="Create Sched Macros"/>
      <sheetName val="Modify Sched Macros"/>
      <sheetName val="Misc"/>
      <sheetName val="Sheet1"/>
      <sheetName val="Support"/>
      <sheetName val="DDS weekly cella 16"/>
      <sheetName val="Data"/>
      <sheetName val="Usage condition (RUS)"/>
      <sheetName val="calcoli_appoggio"/>
      <sheetName val="Loss tree_appoggio"/>
      <sheetName val="Week Data"/>
      <sheetName val="Title + setup"/>
      <sheetName val="Push_Button_Commands"/>
      <sheetName val="Misc_Code"/>
      <sheetName val="Language_Change_Code"/>
      <sheetName val="Create_Sched_Macros"/>
      <sheetName val="Modify_Sched_Macros"/>
      <sheetName val="Usage_condition_(RUS)"/>
      <sheetName val="DDS_weekly_cella_16"/>
      <sheetName val="Push_Button_Commands2"/>
      <sheetName val="Misc_Code2"/>
      <sheetName val="Language_Change_Code2"/>
      <sheetName val="Create_Sched_Macros2"/>
      <sheetName val="Modify_Sched_Macros2"/>
      <sheetName val="Usage_condition_(RUS)2"/>
      <sheetName val="DDS_weekly_cella_162"/>
      <sheetName val="Push_Button_Commands1"/>
      <sheetName val="Misc_Code1"/>
      <sheetName val="Language_Change_Code1"/>
      <sheetName val="Create_Sched_Macros1"/>
      <sheetName val="Modify_Sched_Macros1"/>
      <sheetName val="Usage_condition_(RUS)1"/>
      <sheetName val="DDS_weekly_cella_161"/>
      <sheetName val="Push_Button_Commands3"/>
      <sheetName val="Misc_Code3"/>
      <sheetName val="Language_Change_Code3"/>
      <sheetName val="Create_Sched_Macros3"/>
      <sheetName val="Modify_Sched_Macros3"/>
      <sheetName val="Usage_condition_(RUS)3"/>
      <sheetName val="DDS_weekly_cella_163"/>
      <sheetName val="REPORT | BASELINE"/>
      <sheetName val="DMS | HEALTH CHECK"/>
      <sheetName val="DMS | ANALYSIS + CHARTS"/>
      <sheetName val="values"/>
      <sheetName val="Calculations"/>
      <sheetName val="SUMMARY REPORTS"/>
      <sheetName val="FORECAST IN DOLLARS"/>
      <sheetName val="Usage Condition DL"/>
      <sheetName val="Defined Names"/>
      <sheetName val="Inst"/>
      <sheetName val="Working"/>
      <sheetName val="Setup"/>
      <sheetName val="Assumptions"/>
      <sheetName val="Sheet2"/>
      <sheetName val="EHSPMPL.101.Z1"/>
      <sheetName val="Admin"/>
      <sheetName val="Chart data"/>
      <sheetName val="OOS"/>
      <sheetName val="Budgets"/>
      <sheetName val="Prep"/>
      <sheetName val="Tests"/>
      <sheetName val="Rates"/>
      <sheetName val="CIL Template"/>
      <sheetName val="PMI Review - Russia"/>
      <sheetName val="Списки"/>
    </sheetNames>
    <sheetDataSet>
      <sheetData sheetId="0" refreshError="1"/>
      <sheetData sheetId="1"/>
      <sheetData sheetId="2"/>
      <sheetData sheetId="3"/>
      <sheetData sheetId="4"/>
      <sheetData sheetId="5" refreshError="1"/>
      <sheetData sheetId="6" refreshError="1"/>
      <sheetData sheetId="7"/>
      <sheetData sheetId="8"/>
      <sheetData sheetId="9" refreshError="1"/>
      <sheetData sheetId="10"/>
      <sheetData sheetId="11">
        <row r="7">
          <cell r="C7" t="str">
            <v>Run</v>
          </cell>
        </row>
      </sheetData>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ow r="3">
          <cell r="AA3">
            <v>0</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E Fishbone"/>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Name val="Comportamientos Seguros"/>
      <sheetName val="Q1_ICBP"/>
      <sheetName val="Cálculo PR"/>
      <sheetName val="Cause_Entry"/>
      <sheetName val="IPS 6W2H_20191112"/>
      <sheetName val="UPS Summary_20191112"/>
      <sheetName val="UPS Summary_20200115"/>
      <sheetName val="UPS Summary_20200115 (2)"/>
      <sheetName val="Cause_Entry1"/>
      <sheetName val="Phenomena_Clarification_Guide1"/>
      <sheetName val="Cause_Entry3"/>
      <sheetName val="CE_Fishbone1"/>
      <sheetName val="CE_Summary1"/>
      <sheetName val="Comportamientos_Seguros1"/>
      <sheetName val="Cálculo_PR1"/>
      <sheetName val="Phenomena_Clarification_Guide"/>
      <sheetName val="Cause_Entry2"/>
      <sheetName val="CE_Fishbone"/>
      <sheetName val="CE_Summary"/>
      <sheetName val="Comportamientos_Seguros"/>
      <sheetName val="Cálculo_PR"/>
      <sheetName val="Phenomena_Clarification_Guide2"/>
      <sheetName val="Cause_Entry4"/>
      <sheetName val="CE_Fishbone2"/>
      <sheetName val="CE_Summary2"/>
      <sheetName val="Comportamientos_Seguros2"/>
      <sheetName val="Cálculo_PR2"/>
      <sheetName val="Phenomena_Clarification_Guide3"/>
      <sheetName val="Cause_Entry5"/>
      <sheetName val="CE_Fishbone3"/>
      <sheetName val="CE_Summary3"/>
      <sheetName val="Comportamientos_Seguros3"/>
      <sheetName val="Cálculo_PR3"/>
      <sheetName val="Cause_Entry6"/>
      <sheetName val="Cause_Entry7"/>
      <sheetName val="Worksheet in Unique Problem Sol"/>
      <sheetName val="Total_Liners"/>
      <sheetName val="Total_NonWoven"/>
      <sheetName val="PM plan"/>
      <sheetName val="case per pallet"/>
      <sheetName val="Database"/>
      <sheetName val="SRA"/>
      <sheetName val="GapAnalysis"/>
      <sheetName val="Menu"/>
      <sheetName val="Trend"/>
      <sheetName val="Level-Raw"/>
      <sheetName val="Summary"/>
      <sheetName val="Key Figures"/>
      <sheetName val="Drawback"/>
      <sheetName val="D-Proj"/>
      <sheetName val="D-Curr"/>
      <sheetName val="Freight List"/>
      <sheetName val="Ariel"/>
      <sheetName val="IRVA - CIG"/>
      <sheetName val="References"/>
      <sheetName val="TotalHC"/>
      <sheetName val="Follow Up"/>
      <sheetName val="Pending items"/>
      <sheetName val="con.#1"/>
      <sheetName val="Addendum"/>
      <sheetName val="Agenda"/>
      <sheetName val="Project application"/>
      <sheetName val="POS0398"/>
      <sheetName val="Dropdown_Formulas"/>
      <sheetName val="START HERE - Settings"/>
      <sheetName val="Trends list"/>
      <sheetName val="Instructions"/>
      <sheetName val="Sheet1"/>
      <sheetName val="Key_Figures"/>
      <sheetName val="Freight_List"/>
      <sheetName val="Worksheet_in_Unique_Problem_Sol"/>
      <sheetName val="Macro"/>
      <sheetName val="Setup"/>
      <sheetName val="GMA - First Cut"/>
      <sheetName val="Campo PROJECT LIST"/>
      <sheetName val="Lista de Defectos"/>
      <sheetName val="Cause_Entry8"/>
      <sheetName val="EATHAM &amp; GRADE MOV"/>
      <sheetName val="Phenomena_Clarification_Guide4"/>
      <sheetName val="Cause_Entry9"/>
      <sheetName val="CE_Fishbone4"/>
      <sheetName val="CE_Summary4"/>
      <sheetName val="Comportamientos_Seguros4"/>
      <sheetName val="Cálculo_PR4"/>
      <sheetName val="IPS_6W2H_20191112"/>
      <sheetName val="UPS_Summary_20191112"/>
      <sheetName val="UPS_Summary_20200115"/>
      <sheetName val="UPS_Summary_20200115_(2)"/>
      <sheetName val="Worksheet_in_Unique_Problem_So1"/>
      <sheetName val="PM_plan"/>
      <sheetName val="case_per_pallet"/>
      <sheetName val="Key_Figures1"/>
      <sheetName val="Freight_List1"/>
      <sheetName val="IRVA_-_CIG"/>
      <sheetName val="Follow_Up"/>
      <sheetName val="Pending_items"/>
      <sheetName val="con_#1"/>
      <sheetName val="Project_application"/>
      <sheetName val="START_HERE_-_Settings"/>
      <sheetName val="Trends_list"/>
      <sheetName val="GMA_-_First_Cut"/>
      <sheetName val="Campo_PROJECT_LIST"/>
      <sheetName val="Lista_de_Defectos"/>
      <sheetName val="Phenomena_Clarification_Guide5"/>
      <sheetName val="Cause_Entry10"/>
      <sheetName val="CE_Fishbone5"/>
      <sheetName val="CE_Summary5"/>
      <sheetName val="Comportamientos_Seguros5"/>
      <sheetName val="Cálculo_PR5"/>
      <sheetName val="IPS_6W2H_201911121"/>
      <sheetName val="UPS_Summary_201911121"/>
      <sheetName val="UPS_Summary_202001151"/>
      <sheetName val="UPS_Summary_20200115_(2)1"/>
      <sheetName val="Ausland ODBC"/>
      <sheetName val="Data"/>
      <sheetName val="Data-H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ow r="14">
          <cell r="E14">
            <v>0</v>
          </cell>
        </row>
      </sheetData>
      <sheetData sheetId="40"/>
      <sheetData sheetId="41"/>
      <sheetData sheetId="42"/>
      <sheetData sheetId="43">
        <row r="14">
          <cell r="E14">
            <v>0</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ow r="14">
          <cell r="E14">
            <v>0</v>
          </cell>
        </row>
      </sheetData>
      <sheetData sheetId="145"/>
      <sheetData sheetId="146"/>
      <sheetData sheetId="147"/>
      <sheetData sheetId="148" refreshError="1"/>
      <sheetData sheetId="149" refreshError="1"/>
      <sheetData sheetId="1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wn list"/>
      <sheetName val="Tracking"/>
      <sheetName val="Print"/>
      <sheetName val="Weekly - Monthly"/>
      <sheetName val="11 -MPS board Rev.1"/>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ause and Effect Diagram"/>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
      <sheetName val="Phenomena_Clarification_Guide"/>
      <sheetName val="Cause_Entry"/>
      <sheetName val="Cause_and_Effect_Diagram"/>
      <sheetName val="CE_Summary_Sheet"/>
      <sheetName val="Phenomena_Clarification_Guide1"/>
      <sheetName val="Cause_Entry1"/>
      <sheetName val="Cause_and_Effect_Diagram1"/>
      <sheetName val="CE_Summary_Sheet1"/>
      <sheetName val="Hard Points Tracking"/>
      <sheetName val="Making"/>
      <sheetName val="PAST1"/>
      <sheetName val="Other INPUT"/>
      <sheetName val="Phenomena_Clarification_Guide2"/>
      <sheetName val="Phenomena_Clarification_Guide3"/>
      <sheetName val="Cause_Entry2"/>
      <sheetName val="Cause_and_Effect_Diagram2"/>
      <sheetName val="CE_Summary_Sheet2"/>
      <sheetName val="Hard_Points_Tracking"/>
      <sheetName val="Other_INPUT"/>
      <sheetName val="Start here"/>
      <sheetName val="Daily"/>
      <sheetName val="Cause_and_Effect_Workbook Renew"/>
      <sheetName val="H_EUR_99"/>
      <sheetName val="Phenomena_Clarification_Guide4"/>
      <sheetName val="Cause_Entry3"/>
      <sheetName val="Cause_and_Effect_Diagram3"/>
      <sheetName val="CE_Summary_Sheet3"/>
      <sheetName val="Hard_Points_Tracking1"/>
      <sheetName val="Other_INPUT1"/>
      <sheetName val="PERFORME"/>
      <sheetName val="Summary"/>
      <sheetName val="ICBP - LS 9900"/>
      <sheetName val="Changes"/>
      <sheetName val="MFI"/>
      <sheetName val="MSA"/>
      <sheetName val="Region"/>
      <sheetName val="5733报废分析"/>
      <sheetName val="Data"/>
      <sheetName val="input"/>
      <sheetName val="Tracker | DDS | METRICS"/>
      <sheetName val="Title + setup"/>
      <sheetName val="TRENDSAP"/>
      <sheetName val="Sheet2"/>
      <sheetName val="PMAP"/>
      <sheetName val="Help"/>
      <sheetName val="Phenomena_Clarification_Guide5"/>
      <sheetName val="Cause_Entry4"/>
      <sheetName val="Cause_and_Effect_Diagram4"/>
      <sheetName val="CE_Summary_Sheet4"/>
      <sheetName val="Other_INPUT2"/>
      <sheetName val="Hard_Points_Tracking2"/>
      <sheetName val="Cause_and_Effect_Workbook_Renew"/>
      <sheetName val="ICBP_-_LS_9900"/>
      <sheetName val="Start_here"/>
      <sheetName val="Tracker_|_DDS_|_METRICS"/>
      <sheetName val="Title_+_setup"/>
      <sheetName val="VALUACION"/>
      <sheetName val="RESUMEN"/>
      <sheetName val="Phenomena_Clarification_Guide6"/>
      <sheetName val="Cause_Entry5"/>
      <sheetName val="Cause_and_Effect_Diagram5"/>
      <sheetName val="CE_Summary_Sheet5"/>
      <sheetName val="Other_INPUT3"/>
      <sheetName val="Hard_Points_Tracking3"/>
      <sheetName val="Cause_and_Effect_Workbook_Rene1"/>
      <sheetName val="ICBP_-_LS_99001"/>
      <sheetName val="Start_here1"/>
      <sheetName val="Tracker_|_DDS_|_METRICS1"/>
      <sheetName val="Title_+_setup1"/>
      <sheetName val="Ariel"/>
      <sheetName val="case per pallet"/>
      <sheetName val="Step 4 Results"/>
      <sheetName val="Tabla adic."/>
      <sheetName val="GA Overall inc"/>
      <sheetName val="Time Making"/>
      <sheetName val="MasterPlan"/>
    </sheetNames>
    <sheetDataSet>
      <sheetData sheetId="0">
        <row r="24">
          <cell r="B24" t="str">
            <v>Enter final phenomena statement - Phenomena clarification guide tab</v>
          </cell>
        </row>
      </sheetData>
      <sheetData sheetId="1">
        <row r="24">
          <cell r="B24" t="str">
            <v>Enter final phenomena statement - Phenomena clarification guide tab</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sheetData sheetId="49"/>
      <sheetData sheetId="50"/>
      <sheetData sheetId="51"/>
      <sheetData sheetId="52"/>
      <sheetData sheetId="53"/>
      <sheetData sheetId="54" refreshError="1"/>
      <sheetData sheetId="55" refreshError="1"/>
      <sheetData sheetId="56" refreshError="1"/>
      <sheetData sheetId="57" refreshError="1"/>
      <sheetData sheetId="58">
        <row r="24">
          <cell r="B24" t="str">
            <v>Enter final phenomena statement - Phenomena clarification guide tab</v>
          </cell>
        </row>
      </sheetData>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ow r="24">
          <cell r="B24" t="str">
            <v>Enter final phenomena statement - Phenomena clarification guide tab</v>
          </cell>
        </row>
      </sheetData>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persons/person.xml><?xml version="1.0" encoding="utf-8"?>
<personList xmlns="http://schemas.microsoft.com/office/spreadsheetml/2018/threadedcomments" xmlns:x="http://schemas.openxmlformats.org/spreadsheetml/2006/main">
  <person displayName="Wijaya, Miranda Maya" id="{50F092F9-D645-42FB-B7C6-5A53E8B833DE}" userId="S::mwijaya7@PMINTL.NET::583db0ca-77c3-45e1-b6d7-2db86aa6c4d0" providerId="AD"/>
  <person displayName="Wijaya, Miranda Maya" id="{67823171-2EE8-494A-A906-4D683B2048F2}" userId="S::mwijaya7@pmintl.net::583db0ca-77c3-45e1-b6d7-2db86aa6c4d0" providerId="AD"/>
  <person displayName="Kurniawan, Feri (SAMPOERNA Tbk.)" id="{DA13FAF6-F3B6-4B86-B6FD-2B4F35BB5298}" userId="S::fkurniaw8@PMINTL.NET::3d8bf328-df51-4833-804a-d16f9c7e20f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D3:Y4" totalsRowShown="0" headerRowDxfId="28" headerRowBorderDxfId="27" tableBorderDxfId="26" totalsRowBorderDxfId="25">
  <autoFilter ref="D3:Y4" xr:uid="{00000000-0009-0000-0100-000001000000}"/>
  <tableColumns count="22">
    <tableColumn id="1" xr3:uid="{00000000-0010-0000-0000-000001000000}" name="Submission Date" dataDxfId="24">
      <calculatedColumnFormula>'IPS V4.1'!P8</calculatedColumnFormula>
    </tableColumn>
    <tableColumn id="2" xr3:uid="{00000000-0010-0000-0000-000002000000}" name="Dept" dataDxfId="23">
      <calculatedColumnFormula>IF(RIGHT(F4,SEARCH("-",F4,1)-1)="ID01","SPM",IF(RIGHT(F4,SEARCH("-",F4,1)-1)="ID02","SKM",IF(RIGHT(F4,SEARCH("-",F4,1)-1)="ID30","RRP","")))</calculatedColumnFormula>
    </tableColumn>
    <tableColumn id="3" xr3:uid="{00000000-0010-0000-0000-000003000000}" name="LU" dataDxfId="22">
      <calculatedColumnFormula>'IPS V4.1'!P6</calculatedColumnFormula>
    </tableColumn>
    <tableColumn id="4" xr3:uid="{00000000-0010-0000-0000-000004000000}" name="Technology" dataDxfId="21">
      <calculatedColumnFormula>'IPS V4.1'!Q14</calculatedColumnFormula>
    </tableColumn>
    <tableColumn id="5" xr3:uid="{00000000-0010-0000-0000-000005000000}" name="Loss Category" dataDxfId="20">
      <calculatedColumnFormula>'IPS V4.1'!C14</calculatedColumnFormula>
    </tableColumn>
    <tableColumn id="6" xr3:uid="{00000000-0010-0000-0000-000006000000}" name="Loss Name" dataDxfId="19">
      <calculatedColumnFormula>'IPS V4.1'!B19</calculatedColumnFormula>
    </tableColumn>
    <tableColumn id="7" xr3:uid="{00000000-0010-0000-0000-000007000000}" name="Evidence" dataDxfId="18">
      <calculatedColumnFormula>'IPS V4.1'!P19</calculatedColumnFormula>
    </tableColumn>
    <tableColumn id="8" xr3:uid="{00000000-0010-0000-0000-000008000000}" name="What" dataDxfId="17">
      <calculatedColumnFormula>IF('IPS V4.1'!B26="","",'IPS V4.1'!B26)</calculatedColumnFormula>
    </tableColumn>
    <tableColumn id="9" xr3:uid="{00000000-0010-0000-0000-000009000000}" name="Where" dataDxfId="16">
      <calculatedColumnFormula>IF('IPS V4.1'!R26="","",'IPS V4.1'!R26)</calculatedColumnFormula>
    </tableColumn>
    <tableColumn id="10" xr3:uid="{00000000-0010-0000-0000-00000A000000}" name="To Whom" dataDxfId="15">
      <calculatedColumnFormula>IF('IPS V4.1'!B39="","",'IPS V4.1'!B39)</calculatedColumnFormula>
    </tableColumn>
    <tableColumn id="11" xr3:uid="{00000000-0010-0000-0000-00000B000000}" name="How" dataDxfId="14">
      <calculatedColumnFormula>IF('IPS V4.1'!R39="","",'IPS V4.1'!R39)</calculatedColumnFormula>
    </tableColumn>
    <tableColumn id="12" xr3:uid="{00000000-0010-0000-0000-00000C000000}" name="Which" dataDxfId="13">
      <calculatedColumnFormula>IF('IPS V4.1'!B45="","",'IPS V4.1'!B45)</calculatedColumnFormula>
    </tableColumn>
    <tableColumn id="13" xr3:uid="{00000000-0010-0000-0000-00000D000000}" name="When" dataDxfId="12">
      <calculatedColumnFormula>IF('IPS V4.1'!R45="","",'IPS V4.1'!R45)</calculatedColumnFormula>
    </tableColumn>
    <tableColumn id="14" xr3:uid="{00000000-0010-0000-0000-00000E000000}" name="Who" dataDxfId="11">
      <calculatedColumnFormula>IF('IPS V4.1'!B51="","",'IPS V4.1'!B51)</calculatedColumnFormula>
    </tableColumn>
    <tableColumn id="15" xr3:uid="{00000000-0010-0000-0000-00000F000000}" name="How Much" dataDxfId="10">
      <calculatedColumnFormula>IF('IPS V4.1'!R51="","",'IPS V4.1'!R51)</calculatedColumnFormula>
    </tableColumn>
    <tableColumn id="16" xr3:uid="{00000000-0010-0000-0000-000010000000}" name="Refocused Problem Statement" dataDxfId="9">
      <calculatedColumnFormula>IF('IPS V4.1'!B57="","",'IPS V4.1'!B57)</calculatedColumnFormula>
    </tableColumn>
    <tableColumn id="17" xr3:uid="{00000000-0010-0000-0000-000011000000}" name="BCC NoK List" dataDxfId="8">
      <calculatedColumnFormula>'IPS V4.1'!M66&amp;CHAR(10)&amp;'IPS V4.1'!M68&amp;CHAR(10)&amp;'IPS V4.1'!M70&amp;CHAR(10)&amp;'IPS V4.1'!M72&amp;CHAR(10)&amp;'IPS V4.1'!M74&amp;CHAR(10)&amp;'IPS V4.1'!M76&amp;CHAR(10)&amp;'IPS V4.1'!M78</calculatedColumnFormula>
    </tableColumn>
    <tableColumn id="18" xr3:uid="{00000000-0010-0000-0000-000012000000}" name="BCC NoK List Action" dataDxfId="7">
      <calculatedColumnFormula>'IPS V4.1'!T66&amp;CHAR(10)&amp;'IPS V4.1'!T68&amp;CHAR(10)&amp;'IPS V4.1'!T70&amp;CHAR(10)&amp;'IPS V4.1'!T72&amp;CHAR(10)&amp;'IPS V4.1'!T74&amp;CHAR(10)&amp;'IPS V4.1'!T76&amp;CHAR(10)&amp;'IPS V4.1'!T78</calculatedColumnFormula>
    </tableColumn>
    <tableColumn id="19" xr3:uid="{00000000-0010-0000-0000-000013000000}" name="Countermeasure" dataDxfId="6">
      <calculatedColumnFormula>'IPS V4.1'!AM88</calculatedColumnFormula>
    </tableColumn>
    <tableColumn id="20" xr3:uid="{00000000-0010-0000-0000-000014000000}" name="All BCC List" dataDxfId="5">
      <calculatedColumnFormula>'BCC List'!Q2</calculatedColumnFormula>
    </tableColumn>
    <tableColumn id="21" xr3:uid="{00000000-0010-0000-0000-000015000000}" name="CM to RM" dataDxfId="4">
      <calculatedColumnFormula>IF('IPS V4.1'!BH88="","",'IPS V4.1'!BH88)</calculatedColumnFormula>
    </tableColumn>
    <tableColumn id="22" xr3:uid="{00000000-0010-0000-0000-000016000000}" name="Impact Cost" dataDxfId="3">
      <calculatedColumnFormula>SUM('Cost Impact Calculator'!B28:B30)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_Champ" displayName="LE_Champ" ref="E5:E6" totalsRowShown="0" headerRowDxfId="2" dataDxfId="1">
  <autoFilter ref="E5:E6" xr:uid="{00000000-0009-0000-0100-000002000000}"/>
  <tableColumns count="1">
    <tableColumn id="1" xr3:uid="{00000000-0010-0000-0100-000001000000}" name="LE Champion Name" dataDxfId="0">
      <calculatedColumnFormula>'IPS V4.1'!X14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8" dT="2023-07-14T07:30:22.54" personId="{DA13FAF6-F3B6-4B86-B6FD-2B4F35BB5298}" id="{0F4E3E81-6F39-40CD-AB46-2359F976ACFE}">
    <text>Short Date</text>
  </threadedComment>
  <threadedComment ref="P8" dT="2023-07-20T02:04:04.24" personId="{50F092F9-D645-42FB-B7C6-5A53E8B833DE}" id="{A6ECDD56-0DA3-4326-B824-A7D666E8DEF9}" parentId="{0F4E3E81-6F39-40CD-AB46-2359F976ACFE}">
    <text>Contoh : 1/31/23</text>
  </threadedComment>
  <threadedComment ref="X14" dT="2024-11-25T09:02:48.92" personId="{DA13FAF6-F3B6-4B86-B6FD-2B4F35BB5298}" id="{0319AB75-DC58-4EB1-9390-1F8B1C526DE1}">
    <text xml:space="preserve">Isi dengan ID Karyawan LE champion yang bertugas mereview IPS
</text>
  </threadedComment>
  <threadedComment ref="B19" dT="2023-07-14T07:42:54.26" personId="{DA13FAF6-F3B6-4B86-B6FD-2B4F35BB5298}" id="{4D0902F8-05EF-4579-8CB9-EFF7611EE381}">
    <text>Message Stop/Loss Sesuai SPA/HMI</text>
  </threadedComment>
  <threadedComment ref="B19" dT="2023-07-20T02:02:21.08" personId="{50F092F9-D645-42FB-B7C6-5A53E8B833DE}" id="{AC1B88B4-0A1C-464A-B142-361700B1E338}" parentId="{4D0902F8-05EF-4579-8CB9-EFF7611EE381}">
    <text>All Capital</text>
  </threadedComment>
  <threadedComment ref="P19" dT="2023-07-14T08:03:19.96" personId="{DA13FAF6-F3B6-4B86-B6FD-2B4F35BB5298}" id="{AA560B20-2D90-4691-A4F1-532DEA676070}">
    <text>Evidence/Failure Mode</text>
  </threadedComment>
  <threadedComment ref="C66" dT="2023-07-14T08:16:12.30" personId="{DA13FAF6-F3B6-4B86-B6FD-2B4F35BB5298}" id="{FBF783D9-13A4-4256-95B4-8E6AF91A7C4B}">
    <text>Kosongkan Kolom jika OK atau NA</text>
  </threadedComment>
  <threadedComment ref="E66" dT="2023-07-14T08:16:12.30" personId="{DA13FAF6-F3B6-4B86-B6FD-2B4F35BB5298}" id="{9A8FB9AA-C808-467C-BA7B-230E406E3701}">
    <text>Kosongkan Kolom jika OK atau NA</text>
  </threadedComment>
  <threadedComment ref="G66" dT="2023-07-14T08:17:30.62" personId="{DA13FAF6-F3B6-4B86-B6FD-2B4F35BB5298}" id="{99B14340-28FE-47B9-AD53-62E036C3DCFF}">
    <text>Kosongkan kolom jika OK atau NOK</text>
  </threadedComment>
  <threadedComment ref="M66" dT="2023-07-14T08:22:17.26" personId="{DA13FAF6-F3B6-4B86-B6FD-2B4F35BB5298}" id="{63480C89-413A-4C99-85DB-F8A5BE6A22A1}">
    <text>(Standard DMS)-Deskripsi Deviasinya</text>
  </threadedComment>
  <threadedComment ref="T66" dT="2023-07-14T08:23:28.63" personId="{DA13FAF6-F3B6-4B86-B6FD-2B4F35BB5298}" id="{8358B8CB-8184-4488-836C-914D87AE59A6}">
    <text>Tulis action correctivenya</text>
  </threadedComment>
  <threadedComment ref="M67" dT="2023-07-14T08:22:17.26" personId="{DA13FAF6-F3B6-4B86-B6FD-2B4F35BB5298}" id="{426CB91C-289B-4658-BAF6-81DEB422AB24}">
    <text>(Standard DMS)-Deskripsi Deviasinya</text>
  </threadedComment>
  <threadedComment ref="C68" dT="2023-07-14T08:16:12.30" personId="{DA13FAF6-F3B6-4B86-B6FD-2B4F35BB5298}" id="{A27AF422-6038-4B75-BDE9-C0D37F44C60D}">
    <text>Kosongkan Kolom jika OK atau NA</text>
  </threadedComment>
  <threadedComment ref="E68" dT="2023-07-14T08:16:12.30" personId="{DA13FAF6-F3B6-4B86-B6FD-2B4F35BB5298}" id="{9E4B4221-F775-47A0-8CFE-045CF4E436D0}">
    <text>Kosongkan Kolom jika OK atau NA</text>
  </threadedComment>
  <threadedComment ref="G68" dT="2023-07-14T08:17:30.62" personId="{DA13FAF6-F3B6-4B86-B6FD-2B4F35BB5298}" id="{6913997E-C281-4B71-8C13-D62C81A563D4}">
    <text>Kosongkan kolom jika OK atau NOK</text>
  </threadedComment>
  <threadedComment ref="M68" dT="2023-07-14T08:22:17.26" personId="{DA13FAF6-F3B6-4B86-B6FD-2B4F35BB5298}" id="{D2264655-2851-4838-AAF2-9C606C828F35}">
    <text>(Standard DMS)-Deskripsi Deviasinya</text>
  </threadedComment>
  <threadedComment ref="T68" dT="2023-07-14T08:23:28.63" personId="{DA13FAF6-F3B6-4B86-B6FD-2B4F35BB5298}" id="{74AE3846-3CF3-4FDA-A373-2C72E624C30F}">
    <text>Tulis action correctivenya</text>
  </threadedComment>
  <threadedComment ref="C70" dT="2023-07-14T08:16:12.30" personId="{DA13FAF6-F3B6-4B86-B6FD-2B4F35BB5298}" id="{D08149B9-2040-4862-B78C-1EB18993B819}">
    <text>Kosongkan Kolom jika OK atau NA</text>
  </threadedComment>
  <threadedComment ref="E70" dT="2023-07-14T08:16:12.30" personId="{DA13FAF6-F3B6-4B86-B6FD-2B4F35BB5298}" id="{DF2472BD-6364-42C8-8E14-7B0B7F19C3C6}">
    <text>Kosongkan Kolom jika OK atau NA</text>
  </threadedComment>
  <threadedComment ref="G70" dT="2023-07-14T08:17:30.62" personId="{DA13FAF6-F3B6-4B86-B6FD-2B4F35BB5298}" id="{BF8E9B19-CC7E-4B2E-9380-6F7B52ABC990}">
    <text>Kosongkan kolom jika OK atau NOK</text>
  </threadedComment>
  <threadedComment ref="M70" dT="2023-07-14T08:22:17.26" personId="{DA13FAF6-F3B6-4B86-B6FD-2B4F35BB5298}" id="{A4854C7A-D368-41BF-8098-B979D66BE97F}">
    <text>(Standard DMS)-Deskripsi Deviasinya</text>
  </threadedComment>
  <threadedComment ref="T70" dT="2023-07-14T08:23:28.63" personId="{DA13FAF6-F3B6-4B86-B6FD-2B4F35BB5298}" id="{A514D0A7-FCCD-4946-8253-342FF369FA17}">
    <text>Tulis action correctivenya</text>
  </threadedComment>
  <threadedComment ref="M71" dT="2023-07-14T08:22:17.26" personId="{DA13FAF6-F3B6-4B86-B6FD-2B4F35BB5298}" id="{8D62BF3C-704C-434D-A003-E6BBCBF2BD08}">
    <text>(Standard DMS)-Deskripsi Deviasinya</text>
  </threadedComment>
  <threadedComment ref="C72" dT="2023-07-14T08:16:12.30" personId="{DA13FAF6-F3B6-4B86-B6FD-2B4F35BB5298}" id="{5604DC4B-B5BD-46AB-95F3-6FA543468CC0}">
    <text>Kosongkan Kolom jika OK atau NA</text>
  </threadedComment>
  <threadedComment ref="E72" dT="2023-07-14T08:16:12.30" personId="{DA13FAF6-F3B6-4B86-B6FD-2B4F35BB5298}" id="{35B35A2E-EBAD-4067-ABC5-67FF77A7EAE6}">
    <text>Kosongkan Kolom jika OK atau NA</text>
  </threadedComment>
  <threadedComment ref="G72" dT="2023-07-14T08:17:30.62" personId="{DA13FAF6-F3B6-4B86-B6FD-2B4F35BB5298}" id="{E4F1AE30-BFB0-4F6C-959E-93965C838258}">
    <text>Kosongkan kolom jika OK atau NOK</text>
  </threadedComment>
  <threadedComment ref="M72" dT="2023-07-14T08:22:17.26" personId="{DA13FAF6-F3B6-4B86-B6FD-2B4F35BB5298}" id="{83C5C36E-543C-446B-B330-426FA8FA3101}">
    <text>(Standard DMS)-Deskripsi Deviasinya</text>
  </threadedComment>
  <threadedComment ref="T72" dT="2023-07-14T08:23:28.63" personId="{DA13FAF6-F3B6-4B86-B6FD-2B4F35BB5298}" id="{7FACBE0B-04DE-41F2-8960-5A508D45D660}">
    <text>Tulis action correctivenya</text>
  </threadedComment>
  <threadedComment ref="C74" dT="2023-07-14T08:16:12.30" personId="{DA13FAF6-F3B6-4B86-B6FD-2B4F35BB5298}" id="{65DE881D-D250-4957-BE66-22A264DF711B}">
    <text>Kosongkan Kolom jika OK atau NA</text>
  </threadedComment>
  <threadedComment ref="E74" dT="2023-07-14T08:16:12.30" personId="{DA13FAF6-F3B6-4B86-B6FD-2B4F35BB5298}" id="{8C89FB9C-3A5A-4E05-B0A3-C232FEAD07B8}">
    <text>Kosongkan Kolom jika OK atau NA</text>
  </threadedComment>
  <threadedComment ref="G74" dT="2023-07-14T08:17:30.62" personId="{DA13FAF6-F3B6-4B86-B6FD-2B4F35BB5298}" id="{FF62B7B7-A2D7-488F-8B4B-35FA53CCC570}">
    <text>Kosongkan kolom jika OK atau NOK</text>
  </threadedComment>
  <threadedComment ref="M74" dT="2023-07-14T08:22:17.26" personId="{DA13FAF6-F3B6-4B86-B6FD-2B4F35BB5298}" id="{9E945B84-C5BF-469F-BE32-240572531707}">
    <text>(Standard DMS)-Deskripsi Deviasinya</text>
  </threadedComment>
  <threadedComment ref="T74" dT="2023-07-14T08:23:28.63" personId="{DA13FAF6-F3B6-4B86-B6FD-2B4F35BB5298}" id="{C39BF7CC-985C-4343-B919-D223EF57EF6B}">
    <text>Tulis action correctivenya</text>
  </threadedComment>
  <threadedComment ref="C76" dT="2023-07-14T08:16:12.30" personId="{DA13FAF6-F3B6-4B86-B6FD-2B4F35BB5298}" id="{F9424DFC-30EB-4C6F-B306-E98960293970}">
    <text>Kosongkan Kolom jika OK atau NA</text>
  </threadedComment>
  <threadedComment ref="E76" dT="2023-07-14T08:16:12.30" personId="{DA13FAF6-F3B6-4B86-B6FD-2B4F35BB5298}" id="{786CE2E4-E020-4FEC-A746-D6E10CF29C9B}">
    <text>Kosongkan Kolom jika OK atau NA</text>
  </threadedComment>
  <threadedComment ref="G76" dT="2023-07-14T08:17:30.62" personId="{DA13FAF6-F3B6-4B86-B6FD-2B4F35BB5298}" id="{CA733A49-7C94-47B3-A8DB-F3703A8EF1E7}">
    <text>Kosongkan kolom jika OK atau NOK</text>
  </threadedComment>
  <threadedComment ref="M76" dT="2023-07-14T08:22:17.26" personId="{DA13FAF6-F3B6-4B86-B6FD-2B4F35BB5298}" id="{3872A026-A185-4F88-884E-4C1FDB20B599}">
    <text>(Standard DMS)-Deskripsi Deviasinya</text>
  </threadedComment>
  <threadedComment ref="C78" dT="2023-07-14T08:16:12.30" personId="{DA13FAF6-F3B6-4B86-B6FD-2B4F35BB5298}" id="{366B0F4A-253F-49C9-99A3-03F4C3DDA49B}">
    <text>Kosongkan Kolom jika OK atau NA</text>
  </threadedComment>
  <threadedComment ref="E78" dT="2023-07-14T08:16:12.30" personId="{DA13FAF6-F3B6-4B86-B6FD-2B4F35BB5298}" id="{0C46A35A-13EA-42C4-97C4-C3462327B33A}">
    <text>Kosongkan Kolom jika OK atau NA</text>
  </threadedComment>
  <threadedComment ref="G78" dT="2023-07-14T08:17:30.62" personId="{DA13FAF6-F3B6-4B86-B6FD-2B4F35BB5298}" id="{CC6430D6-9181-4FE2-964F-BF1EA37B0041}">
    <text>Kosongkan kolom jika OK atau NOK</text>
  </threadedComment>
  <threadedComment ref="M78" dT="2023-07-14T08:22:17.26" personId="{DA13FAF6-F3B6-4B86-B6FD-2B4F35BB5298}" id="{DEAC0EF3-2DFF-45F1-845A-E746E23454FF}">
    <text>(Standard DMS)-Deskripsi Deviasinya</text>
  </threadedComment>
  <threadedComment ref="Y148" dT="2023-09-13T09:32:26.21" personId="{67823171-2EE8-494A-A906-4D683B2048F2}" id="{5BC981C2-A98A-486C-87DE-B4DDE9263C0E}">
    <text>Kalau berhubungan dengan Quality : Langsung tulis Cost Impact nya
Kalau berhubungan dengan Delivery &amp; Cost : Input loss Reduction di Column X148</text>
  </threadedComment>
  <threadedComment ref="X152" dT="2023-09-13T10:24:38.32" personId="{DA13FAF6-F3B6-4B86-B6FD-2B4F35BB5298}" id="{09E5C619-622C-4002-88A0-A60F28009728}">
    <text>Kalau berhubungan dengan Quality : Langsung tulis Cost Impact nya sesuai perhitungan team QA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H190"/>
  <sheetViews>
    <sheetView showGridLines="0" tabSelected="1" view="pageBreakPreview" zoomScale="55" zoomScaleNormal="40" zoomScaleSheetLayoutView="55" workbookViewId="0">
      <selection activeCell="O10" sqref="O10:AA12"/>
    </sheetView>
  </sheetViews>
  <sheetFormatPr defaultColWidth="9.453125" defaultRowHeight="14.5" x14ac:dyDescent="0.35"/>
  <cols>
    <col min="1" max="1" width="3.453125" style="1" customWidth="1"/>
    <col min="2" max="2" width="3" style="1" customWidth="1"/>
    <col min="3" max="3" width="6.54296875" style="1" customWidth="1"/>
    <col min="4" max="4" width="2.453125" style="1" customWidth="1"/>
    <col min="5" max="5" width="7.453125" style="1" customWidth="1"/>
    <col min="6" max="6" width="2.453125" style="1" customWidth="1"/>
    <col min="7" max="7" width="6.54296875" style="1" customWidth="1"/>
    <col min="8" max="8" width="2.453125" style="1" customWidth="1"/>
    <col min="9" max="9" width="34.54296875" style="1" customWidth="1"/>
    <col min="10" max="10" width="5.453125" style="1" customWidth="1"/>
    <col min="11" max="11" width="33.453125" style="1" customWidth="1"/>
    <col min="12" max="12" width="4.453125" style="1" customWidth="1"/>
    <col min="13" max="13" width="7" style="1" customWidth="1"/>
    <col min="14" max="14" width="3.453125" style="1" customWidth="1"/>
    <col min="15" max="15" width="16.453125" style="1" customWidth="1"/>
    <col min="16" max="16" width="2.453125" style="1" customWidth="1"/>
    <col min="17" max="17" width="7.54296875" style="1" customWidth="1"/>
    <col min="18" max="19" width="5.453125" style="1" customWidth="1"/>
    <col min="20" max="20" width="22.54296875" style="1" customWidth="1"/>
    <col min="21" max="21" width="4.54296875" style="1" customWidth="1"/>
    <col min="22" max="22" width="24.453125" style="1" customWidth="1"/>
    <col min="23" max="23" width="4.54296875" style="1" customWidth="1"/>
    <col min="24" max="24" width="38.453125" style="1" customWidth="1"/>
    <col min="25" max="25" width="13.54296875" style="1" customWidth="1"/>
    <col min="26" max="26" width="12.54296875" style="1" customWidth="1"/>
    <col min="27" max="27" width="13.453125" style="1" customWidth="1"/>
    <col min="28" max="28" width="4.453125" style="1" customWidth="1"/>
    <col min="29" max="29" width="9.453125" style="1"/>
    <col min="30" max="42" width="9.453125" style="1" customWidth="1"/>
    <col min="43" max="16384" width="9.453125" style="1"/>
  </cols>
  <sheetData>
    <row r="1" spans="2:27" ht="18.649999999999999" customHeight="1" x14ac:dyDescent="0.35"/>
    <row r="2" spans="2:27" ht="51.75" customHeight="1" x14ac:dyDescent="0.35">
      <c r="B2" s="189" t="s">
        <v>0</v>
      </c>
      <c r="C2" s="189"/>
      <c r="D2" s="189"/>
      <c r="E2" s="189"/>
      <c r="F2" s="189"/>
      <c r="G2" s="189"/>
      <c r="H2" s="189"/>
      <c r="I2" s="189"/>
      <c r="J2" s="189"/>
      <c r="K2" s="189"/>
      <c r="L2" s="189"/>
      <c r="M2" s="189"/>
      <c r="N2" s="189"/>
      <c r="O2" s="189"/>
      <c r="P2" s="189"/>
      <c r="Q2" s="189"/>
      <c r="R2" s="189"/>
      <c r="S2" s="189"/>
      <c r="T2" s="189"/>
      <c r="U2" s="189"/>
      <c r="V2" s="189"/>
      <c r="W2" s="189"/>
      <c r="X2" s="189"/>
      <c r="Y2" s="189"/>
      <c r="Z2" s="189"/>
      <c r="AA2" s="189"/>
    </row>
    <row r="3" spans="2:27" ht="15.65" customHeight="1" x14ac:dyDescent="0.35">
      <c r="C3" s="2"/>
      <c r="D3" s="2"/>
      <c r="E3" s="2"/>
      <c r="F3" s="2"/>
      <c r="G3" s="2"/>
      <c r="H3" s="2"/>
      <c r="I3" s="2"/>
      <c r="J3" s="2"/>
      <c r="K3" s="2"/>
      <c r="L3" s="2"/>
      <c r="M3" s="2"/>
      <c r="N3" s="2"/>
      <c r="O3" s="2"/>
      <c r="P3" s="2"/>
      <c r="Q3" s="2"/>
      <c r="R3" s="2"/>
      <c r="S3" s="2"/>
      <c r="T3" s="2"/>
      <c r="U3" s="2"/>
      <c r="V3" s="2"/>
      <c r="W3" s="2"/>
    </row>
    <row r="4" spans="2:27" s="3" customFormat="1" ht="29.15" customHeight="1" x14ac:dyDescent="0.35">
      <c r="B4" s="170" t="s">
        <v>1</v>
      </c>
      <c r="C4" s="170"/>
      <c r="D4" s="170"/>
      <c r="E4" s="170"/>
      <c r="F4" s="170"/>
      <c r="G4" s="170"/>
      <c r="H4" s="170"/>
      <c r="I4" s="170"/>
      <c r="J4" s="170"/>
      <c r="K4" s="170"/>
      <c r="L4" s="170"/>
      <c r="M4" s="170"/>
      <c r="N4" s="170"/>
      <c r="O4" s="170"/>
      <c r="P4" s="170"/>
      <c r="Q4" s="170"/>
      <c r="R4" s="170"/>
      <c r="S4" s="170"/>
      <c r="T4" s="170"/>
      <c r="U4" s="170"/>
      <c r="V4" s="170"/>
      <c r="W4" s="170"/>
      <c r="X4" s="170"/>
      <c r="Y4" s="170"/>
      <c r="Z4" s="170"/>
      <c r="AA4" s="170"/>
    </row>
    <row r="5" spans="2:27" s="4" customFormat="1" ht="11.15" customHeight="1" x14ac:dyDescent="0.45">
      <c r="Y5" s="1"/>
      <c r="Z5" s="1"/>
    </row>
    <row r="6" spans="2:27" s="4" customFormat="1" ht="18.5" x14ac:dyDescent="0.45">
      <c r="C6" s="53"/>
      <c r="E6" s="4" t="s">
        <v>2</v>
      </c>
      <c r="O6" s="193" t="s">
        <v>3</v>
      </c>
      <c r="P6" s="195" t="s">
        <v>114</v>
      </c>
      <c r="Q6" s="196"/>
      <c r="R6" s="196"/>
      <c r="S6" s="196"/>
      <c r="T6" s="196"/>
      <c r="U6" s="197"/>
      <c r="V6" s="193" t="s">
        <v>5</v>
      </c>
      <c r="W6" s="269"/>
      <c r="X6" s="270"/>
      <c r="Y6" s="270"/>
      <c r="Z6" s="270"/>
      <c r="AA6" s="271"/>
    </row>
    <row r="7" spans="2:27" s="4" customFormat="1" ht="9" customHeight="1" x14ac:dyDescent="0.45">
      <c r="O7" s="194"/>
      <c r="P7" s="198"/>
      <c r="Q7" s="199"/>
      <c r="R7" s="199"/>
      <c r="S7" s="199"/>
      <c r="T7" s="199"/>
      <c r="U7" s="200"/>
      <c r="V7" s="194"/>
      <c r="W7" s="272"/>
      <c r="X7" s="273"/>
      <c r="Y7" s="273"/>
      <c r="Z7" s="273"/>
      <c r="AA7" s="274"/>
    </row>
    <row r="8" spans="2:27" s="4" customFormat="1" ht="18.5" x14ac:dyDescent="0.45">
      <c r="C8" s="53"/>
      <c r="E8" s="4" t="s">
        <v>6</v>
      </c>
      <c r="O8" s="193" t="s">
        <v>7</v>
      </c>
      <c r="P8" s="201"/>
      <c r="Q8" s="202"/>
      <c r="R8" s="202"/>
      <c r="S8" s="202"/>
      <c r="T8" s="202"/>
      <c r="U8" s="202"/>
      <c r="V8" s="202"/>
      <c r="W8" s="202"/>
      <c r="X8" s="202"/>
      <c r="Y8" s="202"/>
      <c r="Z8" s="202"/>
      <c r="AA8" s="203"/>
    </row>
    <row r="9" spans="2:27" s="4" customFormat="1" ht="9" customHeight="1" x14ac:dyDescent="0.45">
      <c r="O9" s="194"/>
      <c r="P9" s="204"/>
      <c r="Q9" s="205"/>
      <c r="R9" s="205"/>
      <c r="S9" s="205"/>
      <c r="T9" s="205"/>
      <c r="U9" s="205"/>
      <c r="V9" s="205"/>
      <c r="W9" s="205"/>
      <c r="X9" s="205"/>
      <c r="Y9" s="205"/>
      <c r="Z9" s="205"/>
      <c r="AA9" s="206"/>
    </row>
    <row r="10" spans="2:27" s="4" customFormat="1" ht="18.5" x14ac:dyDescent="0.45">
      <c r="C10" s="53"/>
      <c r="E10" s="4" t="s">
        <v>9</v>
      </c>
      <c r="O10" s="191"/>
      <c r="P10" s="192"/>
      <c r="Q10" s="192"/>
      <c r="R10" s="192"/>
      <c r="S10" s="192"/>
      <c r="T10" s="192"/>
      <c r="U10" s="192"/>
      <c r="V10" s="192"/>
      <c r="W10" s="192"/>
      <c r="X10" s="192"/>
      <c r="Y10" s="192"/>
      <c r="Z10" s="192"/>
      <c r="AA10" s="192"/>
    </row>
    <row r="11" spans="2:27" s="4" customFormat="1" ht="9" customHeight="1" x14ac:dyDescent="0.45">
      <c r="O11" s="192"/>
      <c r="P11" s="192"/>
      <c r="Q11" s="192"/>
      <c r="R11" s="192"/>
      <c r="S11" s="192"/>
      <c r="T11" s="192"/>
      <c r="U11" s="192"/>
      <c r="V11" s="192"/>
      <c r="W11" s="192"/>
      <c r="X11" s="192"/>
      <c r="Y11" s="192"/>
      <c r="Z11" s="192"/>
      <c r="AA11" s="192"/>
    </row>
    <row r="12" spans="2:27" s="4" customFormat="1" ht="18.649999999999999" customHeight="1" x14ac:dyDescent="0.45">
      <c r="C12" s="53"/>
      <c r="E12" s="4" t="s">
        <v>10</v>
      </c>
      <c r="O12" s="192"/>
      <c r="P12" s="192"/>
      <c r="Q12" s="192"/>
      <c r="R12" s="192"/>
      <c r="S12" s="192"/>
      <c r="T12" s="192"/>
      <c r="U12" s="192"/>
      <c r="V12" s="192"/>
      <c r="W12" s="192"/>
      <c r="X12" s="192"/>
      <c r="Y12" s="192"/>
      <c r="Z12" s="192"/>
      <c r="AA12" s="192"/>
    </row>
    <row r="13" spans="2:27" s="13" customFormat="1" ht="7.4" customHeight="1" x14ac:dyDescent="0.5">
      <c r="C13" s="23"/>
      <c r="D13" s="10"/>
      <c r="E13" s="24"/>
      <c r="F13" s="11"/>
      <c r="G13" s="25"/>
      <c r="H13" s="20"/>
      <c r="I13" s="12"/>
      <c r="J13" s="12"/>
      <c r="K13" s="12"/>
      <c r="L13" s="26"/>
      <c r="M13" s="26"/>
      <c r="N13" s="26"/>
      <c r="O13" s="26"/>
      <c r="P13" s="26"/>
      <c r="Q13" s="26"/>
      <c r="R13" s="27"/>
      <c r="S13" s="27"/>
      <c r="T13" s="27"/>
      <c r="U13" s="4"/>
      <c r="V13" s="28"/>
      <c r="W13" s="28"/>
      <c r="Y13" s="1"/>
      <c r="Z13" s="1"/>
    </row>
    <row r="14" spans="2:27" s="13" customFormat="1" ht="20.149999999999999" customHeight="1" x14ac:dyDescent="0.5">
      <c r="C14" s="54" t="str">
        <f>C6&amp;C8&amp;C10&amp;C12</f>
        <v/>
      </c>
      <c r="D14" s="10"/>
      <c r="E14" s="24"/>
      <c r="F14" s="11"/>
      <c r="G14" s="25"/>
      <c r="H14" s="20"/>
      <c r="I14" s="12"/>
      <c r="J14" s="12"/>
      <c r="K14" s="12"/>
      <c r="L14" s="26"/>
      <c r="M14" s="26"/>
      <c r="N14" s="26"/>
      <c r="O14" s="145" t="s">
        <v>11</v>
      </c>
      <c r="P14" s="208"/>
      <c r="Q14" s="207"/>
      <c r="R14" s="207"/>
      <c r="S14" s="207"/>
      <c r="T14" s="207"/>
      <c r="U14" s="4"/>
      <c r="V14" s="145" t="s">
        <v>138</v>
      </c>
      <c r="W14" s="208"/>
      <c r="X14" s="214"/>
      <c r="Y14" s="214"/>
      <c r="Z14" s="214"/>
      <c r="AA14" s="214"/>
    </row>
    <row r="15" spans="2:27" s="13" customFormat="1" ht="16.5" customHeight="1" x14ac:dyDescent="0.5">
      <c r="C15" s="177" t="s">
        <v>12</v>
      </c>
      <c r="D15" s="177"/>
      <c r="E15" s="177"/>
      <c r="F15" s="177"/>
      <c r="G15" s="177"/>
      <c r="H15" s="177"/>
      <c r="I15" s="177"/>
      <c r="J15" s="177"/>
      <c r="K15" s="177"/>
      <c r="L15" s="177"/>
      <c r="M15" s="177"/>
      <c r="N15" s="177"/>
      <c r="O15" s="177"/>
      <c r="P15" s="177"/>
      <c r="Q15" s="177"/>
      <c r="R15" s="177"/>
      <c r="S15" s="177"/>
      <c r="T15" s="177"/>
      <c r="U15" s="177"/>
      <c r="V15" s="177"/>
      <c r="W15" s="177"/>
      <c r="Y15" s="1"/>
      <c r="Z15" s="1"/>
    </row>
    <row r="16" spans="2:27" s="13" customFormat="1" ht="7.4" customHeight="1" x14ac:dyDescent="0.5">
      <c r="C16" s="14"/>
      <c r="D16" s="15"/>
      <c r="E16" s="16"/>
      <c r="F16" s="16"/>
      <c r="G16" s="17"/>
      <c r="H16" s="17"/>
      <c r="I16" s="18"/>
      <c r="J16" s="18"/>
      <c r="K16" s="18"/>
      <c r="L16" s="18"/>
      <c r="M16" s="18"/>
      <c r="N16" s="14"/>
      <c r="O16" s="15"/>
      <c r="P16" s="16"/>
      <c r="Q16" s="16"/>
      <c r="R16" s="17"/>
      <c r="S16" s="19"/>
      <c r="T16" s="18"/>
      <c r="U16" s="18"/>
      <c r="V16" s="18"/>
      <c r="Y16" s="1"/>
      <c r="Z16" s="1"/>
    </row>
    <row r="17" spans="2:27" s="6" customFormat="1" ht="28.4" customHeight="1" x14ac:dyDescent="0.35">
      <c r="B17" s="190" t="s">
        <v>13</v>
      </c>
      <c r="C17" s="190"/>
      <c r="D17" s="190"/>
      <c r="E17" s="190"/>
      <c r="F17" s="190"/>
      <c r="G17" s="190"/>
      <c r="H17" s="190"/>
      <c r="I17" s="190"/>
      <c r="J17" s="190"/>
      <c r="K17" s="190"/>
      <c r="L17" s="190"/>
      <c r="M17" s="190"/>
      <c r="N17" s="190"/>
      <c r="O17" s="190"/>
      <c r="P17" s="190"/>
      <c r="Q17" s="190"/>
      <c r="R17" s="190"/>
      <c r="S17" s="190"/>
      <c r="T17" s="190"/>
      <c r="U17" s="190"/>
      <c r="V17" s="190"/>
      <c r="W17" s="190"/>
      <c r="X17" s="190"/>
      <c r="Y17" s="190"/>
      <c r="Z17" s="190"/>
      <c r="AA17" s="190"/>
    </row>
    <row r="18" spans="2:27" s="6" customFormat="1" ht="28.4" customHeight="1" x14ac:dyDescent="0.35">
      <c r="B18" s="211" t="s">
        <v>136</v>
      </c>
      <c r="C18" s="212"/>
      <c r="D18" s="212"/>
      <c r="E18" s="212"/>
      <c r="F18" s="212"/>
      <c r="G18" s="212"/>
      <c r="H18" s="212"/>
      <c r="I18" s="212"/>
      <c r="J18" s="212"/>
      <c r="K18" s="212"/>
      <c r="L18" s="212"/>
      <c r="M18" s="212"/>
      <c r="N18" s="212"/>
      <c r="O18" s="213"/>
      <c r="P18" s="211" t="s">
        <v>14</v>
      </c>
      <c r="Q18" s="212"/>
      <c r="R18" s="212"/>
      <c r="S18" s="212"/>
      <c r="T18" s="212"/>
      <c r="U18" s="212"/>
      <c r="V18" s="212"/>
      <c r="W18" s="212"/>
      <c r="X18" s="212"/>
      <c r="Y18" s="212"/>
      <c r="Z18" s="212"/>
      <c r="AA18" s="213"/>
    </row>
    <row r="19" spans="2:27" s="6" customFormat="1" ht="20.149999999999999" customHeight="1" x14ac:dyDescent="0.35">
      <c r="B19" s="209"/>
      <c r="C19" s="209"/>
      <c r="D19" s="209"/>
      <c r="E19" s="209"/>
      <c r="F19" s="209"/>
      <c r="G19" s="209"/>
      <c r="H19" s="209"/>
      <c r="I19" s="209"/>
      <c r="J19" s="209"/>
      <c r="K19" s="209"/>
      <c r="L19" s="209"/>
      <c r="M19" s="209"/>
      <c r="N19" s="209"/>
      <c r="O19" s="209"/>
      <c r="P19" s="210"/>
      <c r="Q19" s="209"/>
      <c r="R19" s="209"/>
      <c r="S19" s="209"/>
      <c r="T19" s="209"/>
      <c r="U19" s="209"/>
      <c r="V19" s="209"/>
      <c r="W19" s="209"/>
      <c r="X19" s="209"/>
      <c r="Y19" s="209"/>
      <c r="Z19" s="209"/>
      <c r="AA19" s="209"/>
    </row>
    <row r="20" spans="2:27" s="6" customFormat="1" ht="20.149999999999999" customHeight="1" x14ac:dyDescent="0.35">
      <c r="B20" s="209"/>
      <c r="C20" s="209"/>
      <c r="D20" s="209"/>
      <c r="E20" s="209"/>
      <c r="F20" s="209"/>
      <c r="G20" s="209"/>
      <c r="H20" s="209"/>
      <c r="I20" s="209"/>
      <c r="J20" s="209"/>
      <c r="K20" s="209"/>
      <c r="L20" s="209"/>
      <c r="M20" s="209"/>
      <c r="N20" s="209"/>
      <c r="O20" s="209"/>
      <c r="P20" s="209"/>
      <c r="Q20" s="209"/>
      <c r="R20" s="209"/>
      <c r="S20" s="209"/>
      <c r="T20" s="209"/>
      <c r="U20" s="209"/>
      <c r="V20" s="209"/>
      <c r="W20" s="209"/>
      <c r="X20" s="209"/>
      <c r="Y20" s="209"/>
      <c r="Z20" s="209"/>
      <c r="AA20" s="209"/>
    </row>
    <row r="21" spans="2:27" s="6" customFormat="1" ht="20.149999999999999" customHeight="1" x14ac:dyDescent="0.35">
      <c r="B21" s="209"/>
      <c r="C21" s="209"/>
      <c r="D21" s="209"/>
      <c r="E21" s="209"/>
      <c r="F21" s="209"/>
      <c r="G21" s="209"/>
      <c r="H21" s="209"/>
      <c r="I21" s="209"/>
      <c r="J21" s="209"/>
      <c r="K21" s="209"/>
      <c r="L21" s="209"/>
      <c r="M21" s="209"/>
      <c r="N21" s="209"/>
      <c r="O21" s="209"/>
      <c r="P21" s="209"/>
      <c r="Q21" s="209"/>
      <c r="R21" s="209"/>
      <c r="S21" s="209"/>
      <c r="T21" s="209"/>
      <c r="U21" s="209"/>
      <c r="V21" s="209"/>
      <c r="W21" s="209"/>
      <c r="X21" s="209"/>
      <c r="Y21" s="209"/>
      <c r="Z21" s="209"/>
      <c r="AA21" s="209"/>
    </row>
    <row r="22" spans="2:27" s="6" customFormat="1" ht="7.4" customHeight="1" x14ac:dyDescent="0.35">
      <c r="B22" s="7"/>
      <c r="C22" s="7"/>
      <c r="D22" s="7"/>
      <c r="E22" s="7"/>
      <c r="F22" s="7"/>
      <c r="G22" s="7"/>
      <c r="H22" s="7"/>
    </row>
    <row r="23" spans="2:27" s="6" customFormat="1" ht="28.4" customHeight="1" x14ac:dyDescent="0.35">
      <c r="B23" s="170" t="s">
        <v>15</v>
      </c>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row>
    <row r="24" spans="2:27" s="6" customFormat="1" ht="7.4" customHeight="1" x14ac:dyDescent="0.35">
      <c r="B24" s="8"/>
      <c r="C24" s="8"/>
      <c r="D24" s="8"/>
      <c r="E24" s="8"/>
      <c r="F24" s="8"/>
      <c r="G24" s="8"/>
      <c r="H24" s="8"/>
    </row>
    <row r="25" spans="2:27" s="6" customFormat="1" ht="66" customHeight="1" x14ac:dyDescent="0.35">
      <c r="B25" s="232" t="s">
        <v>16</v>
      </c>
      <c r="C25" s="232"/>
      <c r="D25" s="232"/>
      <c r="E25" s="232"/>
      <c r="F25" s="232"/>
      <c r="G25" s="229" t="s">
        <v>17</v>
      </c>
      <c r="H25" s="229"/>
      <c r="I25" s="229"/>
      <c r="J25" s="229"/>
      <c r="K25" s="229"/>
      <c r="L25" s="229"/>
      <c r="M25" s="229"/>
      <c r="N25" s="229"/>
      <c r="O25" s="229"/>
      <c r="P25" s="229"/>
      <c r="R25" s="217" t="s">
        <v>18</v>
      </c>
      <c r="S25" s="218"/>
      <c r="T25" s="219"/>
      <c r="U25" s="220" t="s">
        <v>126</v>
      </c>
      <c r="V25" s="221"/>
      <c r="W25" s="221"/>
      <c r="X25" s="221"/>
      <c r="Y25" s="221"/>
      <c r="Z25" s="221"/>
      <c r="AA25" s="222"/>
    </row>
    <row r="26" spans="2:27" s="6" customFormat="1" ht="21.65" customHeight="1" x14ac:dyDescent="0.35">
      <c r="B26" s="228"/>
      <c r="C26" s="168"/>
      <c r="D26" s="168"/>
      <c r="E26" s="168"/>
      <c r="F26" s="168"/>
      <c r="G26" s="168"/>
      <c r="H26" s="168"/>
      <c r="I26" s="168"/>
      <c r="J26" s="168"/>
      <c r="K26" s="168"/>
      <c r="L26" s="168"/>
      <c r="M26" s="168"/>
      <c r="N26" s="168"/>
      <c r="O26" s="168"/>
      <c r="P26" s="168"/>
      <c r="R26" s="230"/>
      <c r="S26" s="230"/>
      <c r="T26" s="230"/>
      <c r="U26" s="230"/>
      <c r="V26" s="230"/>
      <c r="W26" s="230"/>
      <c r="X26" s="230"/>
      <c r="Y26" s="230"/>
      <c r="Z26" s="230"/>
      <c r="AA26" s="230"/>
    </row>
    <row r="27" spans="2:27" s="6" customFormat="1" ht="21.65" customHeight="1" x14ac:dyDescent="0.35">
      <c r="B27" s="168"/>
      <c r="C27" s="168"/>
      <c r="D27" s="168"/>
      <c r="E27" s="168"/>
      <c r="F27" s="168"/>
      <c r="G27" s="168"/>
      <c r="H27" s="168"/>
      <c r="I27" s="168"/>
      <c r="J27" s="168"/>
      <c r="K27" s="168"/>
      <c r="L27" s="168"/>
      <c r="M27" s="168"/>
      <c r="N27" s="168"/>
      <c r="O27" s="168"/>
      <c r="P27" s="168"/>
      <c r="R27" s="230"/>
      <c r="S27" s="230"/>
      <c r="T27" s="230"/>
      <c r="U27" s="230"/>
      <c r="V27" s="230"/>
      <c r="W27" s="230"/>
      <c r="X27" s="230"/>
      <c r="Y27" s="230"/>
      <c r="Z27" s="230"/>
      <c r="AA27" s="230"/>
    </row>
    <row r="28" spans="2:27" s="6" customFormat="1" ht="21.65" customHeight="1" x14ac:dyDescent="0.35">
      <c r="B28" s="168"/>
      <c r="C28" s="168"/>
      <c r="D28" s="168"/>
      <c r="E28" s="168"/>
      <c r="F28" s="168"/>
      <c r="G28" s="168"/>
      <c r="H28" s="168"/>
      <c r="I28" s="168"/>
      <c r="J28" s="168"/>
      <c r="K28" s="168"/>
      <c r="L28" s="168"/>
      <c r="M28" s="168"/>
      <c r="N28" s="168"/>
      <c r="O28" s="168"/>
      <c r="P28" s="168"/>
      <c r="R28" s="230"/>
      <c r="S28" s="230"/>
      <c r="T28" s="230"/>
      <c r="U28" s="230"/>
      <c r="V28" s="230"/>
      <c r="W28" s="230"/>
      <c r="X28" s="230"/>
      <c r="Y28" s="230"/>
      <c r="Z28" s="230"/>
      <c r="AA28" s="230"/>
    </row>
    <row r="29" spans="2:27" s="6" customFormat="1" ht="21.65" customHeight="1" x14ac:dyDescent="0.35">
      <c r="B29" s="168"/>
      <c r="C29" s="168"/>
      <c r="D29" s="168"/>
      <c r="E29" s="168"/>
      <c r="F29" s="168"/>
      <c r="G29" s="168"/>
      <c r="H29" s="168"/>
      <c r="I29" s="168"/>
      <c r="J29" s="168"/>
      <c r="K29" s="168"/>
      <c r="L29" s="168"/>
      <c r="M29" s="168"/>
      <c r="N29" s="168"/>
      <c r="O29" s="168"/>
      <c r="P29" s="168"/>
      <c r="R29" s="230"/>
      <c r="S29" s="230"/>
      <c r="T29" s="230"/>
      <c r="U29" s="230"/>
      <c r="V29" s="230"/>
      <c r="W29" s="230"/>
      <c r="X29" s="230"/>
      <c r="Y29" s="230"/>
      <c r="Z29" s="230"/>
      <c r="AA29" s="230"/>
    </row>
    <row r="30" spans="2:27" s="6" customFormat="1" ht="21" customHeight="1" x14ac:dyDescent="0.35">
      <c r="B30" s="231" t="s">
        <v>19</v>
      </c>
      <c r="C30" s="231"/>
      <c r="D30" s="231"/>
      <c r="E30" s="231"/>
      <c r="F30" s="231"/>
      <c r="G30" s="231"/>
      <c r="H30" s="231"/>
      <c r="I30" s="231"/>
      <c r="J30" s="231"/>
      <c r="K30" s="231"/>
      <c r="L30" s="231"/>
      <c r="M30" s="231"/>
      <c r="N30" s="231"/>
      <c r="O30" s="231"/>
      <c r="P30" s="231"/>
      <c r="Q30" s="231"/>
      <c r="R30" s="231"/>
      <c r="S30" s="231"/>
      <c r="T30" s="231"/>
      <c r="U30" s="231"/>
      <c r="V30" s="231"/>
      <c r="W30" s="231"/>
      <c r="X30" s="231"/>
      <c r="Y30" s="231"/>
      <c r="Z30" s="231"/>
      <c r="AA30" s="231"/>
    </row>
    <row r="31" spans="2:27" s="6" customFormat="1" ht="40.4" customHeight="1" x14ac:dyDescent="0.35">
      <c r="B31" s="215" t="s">
        <v>142</v>
      </c>
      <c r="C31" s="215"/>
      <c r="D31" s="215"/>
      <c r="E31" s="215"/>
      <c r="F31" s="215"/>
      <c r="G31" s="215"/>
      <c r="H31" s="215"/>
      <c r="I31" s="215"/>
      <c r="J31" s="215"/>
      <c r="K31" s="215"/>
      <c r="L31" s="215"/>
      <c r="M31" s="215"/>
      <c r="N31" s="215"/>
      <c r="O31" s="215"/>
      <c r="P31" s="215"/>
      <c r="R31" s="215" t="s">
        <v>141</v>
      </c>
      <c r="S31" s="215"/>
      <c r="T31" s="215"/>
      <c r="U31" s="215"/>
      <c r="V31" s="215"/>
      <c r="W31" s="215"/>
      <c r="X31" s="215"/>
      <c r="Y31" s="215"/>
      <c r="Z31" s="215"/>
      <c r="AA31" s="215"/>
    </row>
    <row r="32" spans="2:27" s="6" customFormat="1" ht="40.4" customHeight="1" x14ac:dyDescent="0.35">
      <c r="B32" s="215"/>
      <c r="C32" s="215"/>
      <c r="D32" s="215"/>
      <c r="E32" s="215"/>
      <c r="F32" s="215"/>
      <c r="G32" s="215"/>
      <c r="H32" s="215"/>
      <c r="I32" s="215"/>
      <c r="J32" s="215"/>
      <c r="K32" s="215"/>
      <c r="L32" s="215"/>
      <c r="M32" s="215"/>
      <c r="N32" s="215"/>
      <c r="O32" s="215"/>
      <c r="P32" s="215"/>
      <c r="R32" s="215"/>
      <c r="S32" s="215"/>
      <c r="T32" s="215"/>
      <c r="U32" s="215"/>
      <c r="V32" s="215"/>
      <c r="W32" s="215"/>
      <c r="X32" s="215"/>
      <c r="Y32" s="215"/>
      <c r="Z32" s="215"/>
      <c r="AA32" s="215"/>
    </row>
    <row r="33" spans="2:27" s="6" customFormat="1" ht="40.4" customHeight="1" x14ac:dyDescent="0.35">
      <c r="B33" s="215"/>
      <c r="C33" s="215"/>
      <c r="D33" s="215"/>
      <c r="E33" s="215"/>
      <c r="F33" s="215"/>
      <c r="G33" s="215"/>
      <c r="H33" s="215"/>
      <c r="I33" s="215"/>
      <c r="J33" s="215"/>
      <c r="K33" s="215"/>
      <c r="L33" s="215"/>
      <c r="M33" s="215"/>
      <c r="N33" s="215"/>
      <c r="O33" s="215"/>
      <c r="P33" s="215"/>
      <c r="R33" s="215"/>
      <c r="S33" s="215"/>
      <c r="T33" s="215"/>
      <c r="U33" s="215"/>
      <c r="V33" s="215"/>
      <c r="W33" s="215"/>
      <c r="X33" s="215"/>
      <c r="Y33" s="215"/>
      <c r="Z33" s="215"/>
      <c r="AA33" s="215"/>
    </row>
    <row r="34" spans="2:27" s="6" customFormat="1" ht="40.4" customHeight="1" x14ac:dyDescent="0.35">
      <c r="B34" s="215"/>
      <c r="C34" s="215"/>
      <c r="D34" s="215"/>
      <c r="E34" s="215"/>
      <c r="F34" s="215"/>
      <c r="G34" s="215"/>
      <c r="H34" s="215"/>
      <c r="I34" s="215"/>
      <c r="J34" s="215"/>
      <c r="K34" s="215"/>
      <c r="L34" s="215"/>
      <c r="M34" s="215"/>
      <c r="N34" s="215"/>
      <c r="O34" s="215"/>
      <c r="P34" s="215"/>
      <c r="R34" s="215"/>
      <c r="S34" s="215"/>
      <c r="T34" s="215"/>
      <c r="U34" s="215"/>
      <c r="V34" s="215"/>
      <c r="W34" s="215"/>
      <c r="X34" s="215"/>
      <c r="Y34" s="215"/>
      <c r="Z34" s="215"/>
      <c r="AA34" s="215"/>
    </row>
    <row r="35" spans="2:27" s="6" customFormat="1" ht="40.4" customHeight="1" x14ac:dyDescent="0.35">
      <c r="B35" s="215"/>
      <c r="C35" s="215"/>
      <c r="D35" s="215"/>
      <c r="E35" s="215"/>
      <c r="F35" s="215"/>
      <c r="G35" s="215"/>
      <c r="H35" s="215"/>
      <c r="I35" s="215"/>
      <c r="J35" s="215"/>
      <c r="K35" s="215"/>
      <c r="L35" s="215"/>
      <c r="M35" s="215"/>
      <c r="N35" s="215"/>
      <c r="O35" s="215"/>
      <c r="P35" s="215"/>
      <c r="R35" s="215"/>
      <c r="S35" s="215"/>
      <c r="T35" s="215"/>
      <c r="U35" s="215"/>
      <c r="V35" s="215"/>
      <c r="W35" s="215"/>
      <c r="X35" s="215"/>
      <c r="Y35" s="215"/>
      <c r="Z35" s="215"/>
      <c r="AA35" s="215"/>
    </row>
    <row r="36" spans="2:27" s="6" customFormat="1" ht="40.4" customHeight="1" x14ac:dyDescent="0.35">
      <c r="B36" s="215"/>
      <c r="C36" s="215"/>
      <c r="D36" s="215"/>
      <c r="E36" s="215"/>
      <c r="F36" s="215"/>
      <c r="G36" s="215"/>
      <c r="H36" s="215"/>
      <c r="I36" s="215"/>
      <c r="J36" s="215"/>
      <c r="K36" s="215"/>
      <c r="L36" s="215"/>
      <c r="M36" s="215"/>
      <c r="N36" s="215"/>
      <c r="O36" s="215"/>
      <c r="P36" s="215"/>
      <c r="R36" s="215"/>
      <c r="S36" s="215"/>
      <c r="T36" s="215"/>
      <c r="U36" s="215"/>
      <c r="V36" s="215"/>
      <c r="W36" s="215"/>
      <c r="X36" s="215"/>
      <c r="Y36" s="215"/>
      <c r="Z36" s="215"/>
      <c r="AA36" s="215"/>
    </row>
    <row r="37" spans="2:27" s="6" customFormat="1" ht="7.4" customHeight="1" x14ac:dyDescent="0.35">
      <c r="B37" s="8"/>
      <c r="C37" s="8"/>
      <c r="D37" s="8"/>
      <c r="E37" s="8"/>
      <c r="F37" s="8"/>
      <c r="G37" s="8"/>
      <c r="H37" s="8"/>
    </row>
    <row r="38" spans="2:27" s="6" customFormat="1" ht="92.15" customHeight="1" x14ac:dyDescent="0.35">
      <c r="B38" s="186" t="s">
        <v>20</v>
      </c>
      <c r="C38" s="186"/>
      <c r="D38" s="186"/>
      <c r="E38" s="186"/>
      <c r="F38" s="186"/>
      <c r="G38" s="216" t="s">
        <v>127</v>
      </c>
      <c r="H38" s="216"/>
      <c r="I38" s="216"/>
      <c r="J38" s="216"/>
      <c r="K38" s="216"/>
      <c r="L38" s="216"/>
      <c r="M38" s="216"/>
      <c r="N38" s="216"/>
      <c r="O38" s="216"/>
      <c r="P38" s="216"/>
      <c r="R38" s="186" t="s">
        <v>21</v>
      </c>
      <c r="S38" s="186"/>
      <c r="T38" s="186"/>
      <c r="U38" s="223" t="s">
        <v>128</v>
      </c>
      <c r="V38" s="216"/>
      <c r="W38" s="216"/>
      <c r="X38" s="216"/>
      <c r="Y38" s="216"/>
      <c r="Z38" s="216"/>
      <c r="AA38" s="216"/>
    </row>
    <row r="39" spans="2:27" s="6" customFormat="1" ht="21.65" customHeight="1" x14ac:dyDescent="0.35">
      <c r="B39" s="226"/>
      <c r="C39" s="227"/>
      <c r="D39" s="227"/>
      <c r="E39" s="227"/>
      <c r="F39" s="227"/>
      <c r="G39" s="227"/>
      <c r="H39" s="227"/>
      <c r="I39" s="227"/>
      <c r="J39" s="227"/>
      <c r="K39" s="227"/>
      <c r="L39" s="227"/>
      <c r="M39" s="227"/>
      <c r="N39" s="227"/>
      <c r="O39" s="227"/>
      <c r="P39" s="227"/>
      <c r="R39" s="227"/>
      <c r="S39" s="227"/>
      <c r="T39" s="227"/>
      <c r="U39" s="227"/>
      <c r="V39" s="227"/>
      <c r="W39" s="227"/>
      <c r="X39" s="227"/>
      <c r="Y39" s="227"/>
      <c r="Z39" s="227"/>
      <c r="AA39" s="227"/>
    </row>
    <row r="40" spans="2:27" s="6" customFormat="1" ht="21.65" customHeight="1" x14ac:dyDescent="0.35">
      <c r="B40" s="227"/>
      <c r="C40" s="227"/>
      <c r="D40" s="227"/>
      <c r="E40" s="227"/>
      <c r="F40" s="227"/>
      <c r="G40" s="227"/>
      <c r="H40" s="227"/>
      <c r="I40" s="227"/>
      <c r="J40" s="227"/>
      <c r="K40" s="227"/>
      <c r="L40" s="227"/>
      <c r="M40" s="227"/>
      <c r="N40" s="227"/>
      <c r="O40" s="227"/>
      <c r="P40" s="227"/>
      <c r="R40" s="227"/>
      <c r="S40" s="227"/>
      <c r="T40" s="227"/>
      <c r="U40" s="227"/>
      <c r="V40" s="227"/>
      <c r="W40" s="227"/>
      <c r="X40" s="227"/>
      <c r="Y40" s="227"/>
      <c r="Z40" s="227"/>
      <c r="AA40" s="227"/>
    </row>
    <row r="41" spans="2:27" s="6" customFormat="1" ht="21.65" customHeight="1" x14ac:dyDescent="0.35">
      <c r="B41" s="227"/>
      <c r="C41" s="227"/>
      <c r="D41" s="227"/>
      <c r="E41" s="227"/>
      <c r="F41" s="227"/>
      <c r="G41" s="227"/>
      <c r="H41" s="227"/>
      <c r="I41" s="227"/>
      <c r="J41" s="227"/>
      <c r="K41" s="227"/>
      <c r="L41" s="227"/>
      <c r="M41" s="227"/>
      <c r="N41" s="227"/>
      <c r="O41" s="227"/>
      <c r="P41" s="227"/>
      <c r="R41" s="227"/>
      <c r="S41" s="227"/>
      <c r="T41" s="227"/>
      <c r="U41" s="227"/>
      <c r="V41" s="227"/>
      <c r="W41" s="227"/>
      <c r="X41" s="227"/>
      <c r="Y41" s="227"/>
      <c r="Z41" s="227"/>
      <c r="AA41" s="227"/>
    </row>
    <row r="42" spans="2:27" s="6" customFormat="1" ht="21.65" customHeight="1" x14ac:dyDescent="0.35">
      <c r="B42" s="227"/>
      <c r="C42" s="227"/>
      <c r="D42" s="227"/>
      <c r="E42" s="227"/>
      <c r="F42" s="227"/>
      <c r="G42" s="227"/>
      <c r="H42" s="227"/>
      <c r="I42" s="227"/>
      <c r="J42" s="227"/>
      <c r="K42" s="227"/>
      <c r="L42" s="227"/>
      <c r="M42" s="227"/>
      <c r="N42" s="227"/>
      <c r="O42" s="227"/>
      <c r="P42" s="227"/>
      <c r="R42" s="227"/>
      <c r="S42" s="227"/>
      <c r="T42" s="227"/>
      <c r="U42" s="227"/>
      <c r="V42" s="227"/>
      <c r="W42" s="227"/>
      <c r="X42" s="227"/>
      <c r="Y42" s="227"/>
      <c r="Z42" s="227"/>
      <c r="AA42" s="227"/>
    </row>
    <row r="43" spans="2:27" s="6" customFormat="1" ht="7.4" customHeight="1" x14ac:dyDescent="0.35">
      <c r="B43" s="8"/>
      <c r="C43" s="8"/>
      <c r="D43" s="8"/>
      <c r="E43" s="8"/>
      <c r="F43" s="8"/>
      <c r="G43" s="8"/>
      <c r="H43" s="8"/>
    </row>
    <row r="44" spans="2:27" s="6" customFormat="1" ht="81.650000000000006" customHeight="1" x14ac:dyDescent="0.35">
      <c r="B44" s="186" t="s">
        <v>22</v>
      </c>
      <c r="C44" s="186"/>
      <c r="D44" s="186"/>
      <c r="E44" s="186"/>
      <c r="F44" s="186"/>
      <c r="G44" s="216" t="s">
        <v>129</v>
      </c>
      <c r="H44" s="216"/>
      <c r="I44" s="216"/>
      <c r="J44" s="216"/>
      <c r="K44" s="216"/>
      <c r="L44" s="216"/>
      <c r="M44" s="216"/>
      <c r="N44" s="216"/>
      <c r="O44" s="216"/>
      <c r="P44" s="216"/>
      <c r="R44" s="233" t="s">
        <v>23</v>
      </c>
      <c r="S44" s="234"/>
      <c r="T44" s="234"/>
      <c r="U44" s="225" t="s">
        <v>130</v>
      </c>
      <c r="V44" s="225"/>
      <c r="W44" s="225"/>
      <c r="X44" s="225"/>
      <c r="Y44" s="225"/>
      <c r="Z44" s="225"/>
      <c r="AA44" s="225"/>
    </row>
    <row r="45" spans="2:27" s="6" customFormat="1" ht="21.65" customHeight="1" x14ac:dyDescent="0.35">
      <c r="B45" s="228"/>
      <c r="C45" s="164"/>
      <c r="D45" s="164"/>
      <c r="E45" s="164"/>
      <c r="F45" s="164"/>
      <c r="G45" s="164"/>
      <c r="H45" s="164"/>
      <c r="I45" s="164"/>
      <c r="J45" s="164"/>
      <c r="K45" s="164"/>
      <c r="L45" s="164"/>
      <c r="M45" s="164"/>
      <c r="N45" s="164"/>
      <c r="O45" s="164"/>
      <c r="P45" s="164"/>
      <c r="R45" s="228"/>
      <c r="S45" s="164"/>
      <c r="T45" s="164"/>
      <c r="U45" s="164"/>
      <c r="V45" s="164"/>
      <c r="W45" s="164"/>
      <c r="X45" s="164"/>
      <c r="Y45" s="164"/>
      <c r="Z45" s="164"/>
      <c r="AA45" s="164"/>
    </row>
    <row r="46" spans="2:27" s="6" customFormat="1" ht="21.65" customHeight="1" x14ac:dyDescent="0.35">
      <c r="B46" s="164"/>
      <c r="C46" s="164"/>
      <c r="D46" s="164"/>
      <c r="E46" s="164"/>
      <c r="F46" s="164"/>
      <c r="G46" s="164"/>
      <c r="H46" s="164"/>
      <c r="I46" s="164"/>
      <c r="J46" s="164"/>
      <c r="K46" s="164"/>
      <c r="L46" s="164"/>
      <c r="M46" s="164"/>
      <c r="N46" s="164"/>
      <c r="O46" s="164"/>
      <c r="P46" s="164"/>
      <c r="R46" s="164"/>
      <c r="S46" s="164"/>
      <c r="T46" s="164"/>
      <c r="U46" s="164"/>
      <c r="V46" s="164"/>
      <c r="W46" s="164"/>
      <c r="X46" s="164"/>
      <c r="Y46" s="164"/>
      <c r="Z46" s="164"/>
      <c r="AA46" s="164"/>
    </row>
    <row r="47" spans="2:27" s="6" customFormat="1" ht="21.65" customHeight="1" x14ac:dyDescent="0.35">
      <c r="B47" s="164"/>
      <c r="C47" s="164"/>
      <c r="D47" s="164"/>
      <c r="E47" s="164"/>
      <c r="F47" s="164"/>
      <c r="G47" s="164"/>
      <c r="H47" s="164"/>
      <c r="I47" s="164"/>
      <c r="J47" s="164"/>
      <c r="K47" s="164"/>
      <c r="L47" s="164"/>
      <c r="M47" s="164"/>
      <c r="N47" s="164"/>
      <c r="O47" s="164"/>
      <c r="P47" s="164"/>
      <c r="R47" s="164"/>
      <c r="S47" s="164"/>
      <c r="T47" s="164"/>
      <c r="U47" s="164"/>
      <c r="V47" s="164"/>
      <c r="W47" s="164"/>
      <c r="X47" s="164"/>
      <c r="Y47" s="164"/>
      <c r="Z47" s="164"/>
      <c r="AA47" s="164"/>
    </row>
    <row r="48" spans="2:27" s="6" customFormat="1" ht="21.65" customHeight="1" x14ac:dyDescent="0.35">
      <c r="B48" s="164"/>
      <c r="C48" s="164"/>
      <c r="D48" s="164"/>
      <c r="E48" s="164"/>
      <c r="F48" s="164"/>
      <c r="G48" s="164"/>
      <c r="H48" s="164"/>
      <c r="I48" s="164"/>
      <c r="J48" s="164"/>
      <c r="K48" s="164"/>
      <c r="L48" s="164"/>
      <c r="M48" s="164"/>
      <c r="N48" s="164"/>
      <c r="O48" s="164"/>
      <c r="P48" s="164"/>
      <c r="R48" s="164"/>
      <c r="S48" s="164"/>
      <c r="T48" s="164"/>
      <c r="U48" s="164"/>
      <c r="V48" s="164"/>
      <c r="W48" s="164"/>
      <c r="X48" s="164"/>
      <c r="Y48" s="164"/>
      <c r="Z48" s="164"/>
      <c r="AA48" s="164"/>
    </row>
    <row r="49" spans="2:27" s="6" customFormat="1" ht="7.4" customHeight="1" x14ac:dyDescent="0.35">
      <c r="B49" s="8"/>
      <c r="C49" s="8"/>
      <c r="D49" s="8"/>
      <c r="E49" s="8"/>
      <c r="F49" s="8"/>
      <c r="G49" s="8"/>
      <c r="H49" s="8"/>
    </row>
    <row r="50" spans="2:27" s="6" customFormat="1" ht="71.25" customHeight="1" x14ac:dyDescent="0.35">
      <c r="B50" s="186" t="s">
        <v>24</v>
      </c>
      <c r="C50" s="186"/>
      <c r="D50" s="186"/>
      <c r="E50" s="186"/>
      <c r="F50" s="224"/>
      <c r="G50" s="225" t="s">
        <v>131</v>
      </c>
      <c r="H50" s="225"/>
      <c r="I50" s="225"/>
      <c r="J50" s="225"/>
      <c r="K50" s="225"/>
      <c r="L50" s="225"/>
      <c r="M50" s="225"/>
      <c r="N50" s="225"/>
      <c r="O50" s="225"/>
      <c r="P50" s="225"/>
      <c r="R50" s="233" t="s">
        <v>25</v>
      </c>
      <c r="S50" s="234"/>
      <c r="T50" s="234"/>
      <c r="U50" s="225" t="s">
        <v>132</v>
      </c>
      <c r="V50" s="225"/>
      <c r="W50" s="225"/>
      <c r="X50" s="225"/>
      <c r="Y50" s="225"/>
      <c r="Z50" s="225"/>
      <c r="AA50" s="225"/>
    </row>
    <row r="51" spans="2:27" s="6" customFormat="1" ht="21.65" customHeight="1" x14ac:dyDescent="0.35">
      <c r="B51" s="164"/>
      <c r="C51" s="164"/>
      <c r="D51" s="164"/>
      <c r="E51" s="164"/>
      <c r="F51" s="164"/>
      <c r="G51" s="164"/>
      <c r="H51" s="164"/>
      <c r="I51" s="164"/>
      <c r="J51" s="164"/>
      <c r="K51" s="164"/>
      <c r="L51" s="164"/>
      <c r="M51" s="164"/>
      <c r="N51" s="164"/>
      <c r="O51" s="164"/>
      <c r="P51" s="164"/>
      <c r="R51" s="164"/>
      <c r="S51" s="164"/>
      <c r="T51" s="164"/>
      <c r="U51" s="165"/>
      <c r="V51" s="165"/>
      <c r="W51" s="165"/>
      <c r="X51" s="165"/>
      <c r="Y51" s="165"/>
      <c r="Z51" s="165"/>
      <c r="AA51" s="165"/>
    </row>
    <row r="52" spans="2:27" s="6" customFormat="1" ht="21.65" customHeight="1" x14ac:dyDescent="0.35">
      <c r="B52" s="164"/>
      <c r="C52" s="164"/>
      <c r="D52" s="164"/>
      <c r="E52" s="164"/>
      <c r="F52" s="164"/>
      <c r="G52" s="164"/>
      <c r="H52" s="164"/>
      <c r="I52" s="164"/>
      <c r="J52" s="164"/>
      <c r="K52" s="164"/>
      <c r="L52" s="164"/>
      <c r="M52" s="164"/>
      <c r="N52" s="164"/>
      <c r="O52" s="164"/>
      <c r="P52" s="164"/>
      <c r="R52" s="164"/>
      <c r="S52" s="164"/>
      <c r="T52" s="164"/>
      <c r="U52" s="164"/>
      <c r="V52" s="164"/>
      <c r="W52" s="164"/>
      <c r="X52" s="164"/>
      <c r="Y52" s="164"/>
      <c r="Z52" s="164"/>
      <c r="AA52" s="164"/>
    </row>
    <row r="53" spans="2:27" s="6" customFormat="1" ht="21.65" customHeight="1" x14ac:dyDescent="0.35">
      <c r="B53" s="164"/>
      <c r="C53" s="164"/>
      <c r="D53" s="164"/>
      <c r="E53" s="164"/>
      <c r="F53" s="164"/>
      <c r="G53" s="164"/>
      <c r="H53" s="164"/>
      <c r="I53" s="164"/>
      <c r="J53" s="164"/>
      <c r="K53" s="164"/>
      <c r="L53" s="164"/>
      <c r="M53" s="164"/>
      <c r="N53" s="164"/>
      <c r="O53" s="164"/>
      <c r="P53" s="164"/>
      <c r="R53" s="164"/>
      <c r="S53" s="164"/>
      <c r="T53" s="164"/>
      <c r="U53" s="164"/>
      <c r="V53" s="164"/>
      <c r="W53" s="164"/>
      <c r="X53" s="164"/>
      <c r="Y53" s="164"/>
      <c r="Z53" s="164"/>
      <c r="AA53" s="164"/>
    </row>
    <row r="54" spans="2:27" s="6" customFormat="1" ht="21.65" customHeight="1" x14ac:dyDescent="0.35">
      <c r="B54" s="164"/>
      <c r="C54" s="164"/>
      <c r="D54" s="164"/>
      <c r="E54" s="164"/>
      <c r="F54" s="164"/>
      <c r="G54" s="164"/>
      <c r="H54" s="164"/>
      <c r="I54" s="164"/>
      <c r="J54" s="164"/>
      <c r="K54" s="164"/>
      <c r="L54" s="164"/>
      <c r="M54" s="164"/>
      <c r="N54" s="164"/>
      <c r="O54" s="164"/>
      <c r="P54" s="164"/>
      <c r="R54" s="164"/>
      <c r="S54" s="164"/>
      <c r="T54" s="164"/>
      <c r="U54" s="164"/>
      <c r="V54" s="164"/>
      <c r="W54" s="164"/>
      <c r="X54" s="164"/>
      <c r="Y54" s="164"/>
      <c r="Z54" s="164"/>
      <c r="AA54" s="164"/>
    </row>
    <row r="55" spans="2:27" s="6" customFormat="1" ht="7.4" customHeight="1" x14ac:dyDescent="0.35">
      <c r="B55" s="8"/>
      <c r="C55" s="8"/>
      <c r="D55" s="8"/>
      <c r="E55" s="8"/>
      <c r="F55" s="8"/>
      <c r="G55" s="8"/>
      <c r="H55" s="8"/>
    </row>
    <row r="56" spans="2:27" s="6" customFormat="1" ht="40.5" customHeight="1" x14ac:dyDescent="0.35">
      <c r="B56" s="166" t="s">
        <v>26</v>
      </c>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row>
    <row r="57" spans="2:27" s="6" customFormat="1" ht="23.9" customHeight="1" x14ac:dyDescent="0.35">
      <c r="B57" s="167"/>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c r="AA57" s="168"/>
    </row>
    <row r="58" spans="2:27" s="6" customFormat="1" ht="23.9" customHeight="1" x14ac:dyDescent="0.35">
      <c r="B58" s="16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row>
    <row r="59" spans="2:27" s="6" customFormat="1" ht="23.9" customHeight="1" x14ac:dyDescent="0.35">
      <c r="B59" s="16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row>
    <row r="60" spans="2:27" s="6" customFormat="1" ht="23.9" customHeight="1" x14ac:dyDescent="0.35">
      <c r="B60" s="168"/>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c r="AA60" s="168"/>
    </row>
    <row r="61" spans="2:27" s="6" customFormat="1" ht="11.15" customHeight="1" x14ac:dyDescent="0.35">
      <c r="B61" s="30"/>
      <c r="C61" s="30"/>
      <c r="D61" s="30"/>
      <c r="E61" s="30"/>
      <c r="F61" s="30"/>
      <c r="G61" s="30"/>
      <c r="H61" s="30"/>
      <c r="I61" s="30"/>
      <c r="J61" s="30"/>
      <c r="K61" s="30"/>
      <c r="L61" s="30"/>
      <c r="M61" s="30"/>
      <c r="N61" s="30"/>
      <c r="O61" s="30"/>
      <c r="P61" s="30"/>
      <c r="Q61" s="30"/>
      <c r="R61" s="30"/>
      <c r="S61" s="30"/>
      <c r="T61" s="30"/>
      <c r="U61" s="30"/>
      <c r="V61" s="30"/>
      <c r="W61" s="30"/>
    </row>
    <row r="62" spans="2:27" s="3" customFormat="1" ht="45" customHeight="1" x14ac:dyDescent="0.35">
      <c r="B62" s="170" t="s">
        <v>133</v>
      </c>
      <c r="C62" s="170"/>
      <c r="D62" s="170"/>
      <c r="E62" s="170"/>
      <c r="F62" s="170"/>
      <c r="G62" s="170"/>
      <c r="H62" s="170"/>
      <c r="I62" s="170"/>
      <c r="J62" s="170"/>
      <c r="K62" s="170"/>
      <c r="M62" s="169" t="s">
        <v>27</v>
      </c>
      <c r="N62" s="170"/>
      <c r="O62" s="170"/>
      <c r="P62" s="170"/>
      <c r="Q62" s="170"/>
      <c r="R62" s="170"/>
      <c r="S62" s="170"/>
      <c r="T62" s="170"/>
      <c r="U62" s="170"/>
      <c r="V62" s="170"/>
      <c r="W62" s="170"/>
      <c r="X62" s="170"/>
      <c r="Y62" s="170"/>
      <c r="Z62" s="170"/>
      <c r="AA62" s="170"/>
    </row>
    <row r="63" spans="2:27" s="3" customFormat="1" ht="5.15" customHeight="1" x14ac:dyDescent="0.35">
      <c r="B63" s="9"/>
      <c r="C63" s="9"/>
      <c r="D63" s="9"/>
      <c r="E63" s="9"/>
      <c r="F63" s="9"/>
      <c r="G63" s="9"/>
      <c r="H63" s="9"/>
      <c r="I63" s="9"/>
      <c r="J63" s="9"/>
      <c r="K63" s="9"/>
      <c r="M63" s="9"/>
      <c r="N63" s="9"/>
      <c r="O63" s="9"/>
      <c r="P63" s="9"/>
      <c r="Q63" s="9"/>
      <c r="R63" s="9"/>
      <c r="S63" s="9"/>
      <c r="T63" s="9"/>
      <c r="U63" s="9"/>
      <c r="V63" s="9"/>
      <c r="W63" s="9"/>
      <c r="X63" s="9"/>
      <c r="Y63" s="1"/>
      <c r="Z63" s="1"/>
    </row>
    <row r="64" spans="2:27" s="4" customFormat="1" ht="59.9" customHeight="1" x14ac:dyDescent="0.45">
      <c r="B64" s="171" t="s">
        <v>28</v>
      </c>
      <c r="C64" s="172"/>
      <c r="D64" s="172"/>
      <c r="E64" s="172"/>
      <c r="F64" s="172"/>
      <c r="G64" s="172"/>
      <c r="H64" s="172"/>
      <c r="I64" s="172"/>
      <c r="J64" s="172"/>
      <c r="K64" s="173"/>
      <c r="M64" s="235" t="s">
        <v>29</v>
      </c>
      <c r="N64" s="236"/>
      <c r="O64" s="236"/>
      <c r="P64" s="236"/>
      <c r="Q64" s="236"/>
      <c r="R64" s="236"/>
      <c r="S64" s="237"/>
      <c r="T64" s="241" t="s">
        <v>134</v>
      </c>
      <c r="U64" s="242"/>
      <c r="V64" s="242"/>
      <c r="W64" s="242"/>
      <c r="X64" s="243"/>
      <c r="Y64" s="239" t="s">
        <v>30</v>
      </c>
      <c r="Z64" s="240"/>
      <c r="AA64" s="49" t="s">
        <v>31</v>
      </c>
    </row>
    <row r="65" spans="2:27" s="4" customFormat="1" ht="5.15" customHeight="1" x14ac:dyDescent="0.45">
      <c r="B65" s="33"/>
      <c r="E65" s="136"/>
      <c r="K65" s="34"/>
      <c r="Y65" s="1"/>
      <c r="Z65" s="1"/>
    </row>
    <row r="66" spans="2:27" s="4" customFormat="1" ht="56.9" customHeight="1" x14ac:dyDescent="0.45">
      <c r="B66" s="33"/>
      <c r="C66" s="130" t="s">
        <v>140</v>
      </c>
      <c r="D66" s="10"/>
      <c r="E66" s="131" t="s">
        <v>32</v>
      </c>
      <c r="F66" s="11"/>
      <c r="G66" s="132" t="s">
        <v>33</v>
      </c>
      <c r="H66" s="35"/>
      <c r="I66" s="137" t="s">
        <v>34</v>
      </c>
      <c r="J66" s="137"/>
      <c r="K66" s="138"/>
      <c r="M66" s="207"/>
      <c r="N66" s="207"/>
      <c r="O66" s="207"/>
      <c r="P66" s="207"/>
      <c r="Q66" s="207"/>
      <c r="R66" s="207"/>
      <c r="S66" s="207"/>
      <c r="T66" s="244"/>
      <c r="U66" s="245"/>
      <c r="V66" s="245"/>
      <c r="W66" s="245"/>
      <c r="X66" s="246"/>
      <c r="Y66" s="247"/>
      <c r="Z66" s="248"/>
      <c r="AA66" s="110"/>
    </row>
    <row r="67" spans="2:27" s="4" customFormat="1" ht="5.15" customHeight="1" x14ac:dyDescent="0.45">
      <c r="B67" s="33"/>
      <c r="C67" s="130"/>
      <c r="D67" s="37"/>
      <c r="E67" s="131"/>
      <c r="F67" s="37"/>
      <c r="G67" s="132"/>
      <c r="H67" s="37"/>
      <c r="I67" s="36"/>
      <c r="K67" s="34"/>
      <c r="M67" s="238"/>
      <c r="N67" s="238"/>
      <c r="O67" s="238"/>
      <c r="P67" s="238"/>
      <c r="Q67" s="238"/>
      <c r="R67" s="238"/>
      <c r="S67" s="238"/>
      <c r="T67" s="55"/>
      <c r="U67" s="55"/>
      <c r="V67" s="55"/>
      <c r="W67" s="55"/>
      <c r="X67" s="55"/>
      <c r="Y67" s="1"/>
      <c r="Z67" s="1"/>
      <c r="AA67" s="82"/>
    </row>
    <row r="68" spans="2:27" s="4" customFormat="1" ht="57" customHeight="1" x14ac:dyDescent="0.45">
      <c r="B68" s="33"/>
      <c r="C68" s="130" t="s">
        <v>140</v>
      </c>
      <c r="D68" s="10"/>
      <c r="E68" s="131" t="s">
        <v>32</v>
      </c>
      <c r="F68" s="11"/>
      <c r="G68" s="132" t="s">
        <v>33</v>
      </c>
      <c r="H68" s="35"/>
      <c r="I68" s="137" t="s">
        <v>35</v>
      </c>
      <c r="J68" s="137"/>
      <c r="K68" s="138"/>
      <c r="M68" s="207"/>
      <c r="N68" s="207"/>
      <c r="O68" s="207"/>
      <c r="P68" s="207"/>
      <c r="Q68" s="207"/>
      <c r="R68" s="207"/>
      <c r="S68" s="207"/>
      <c r="T68" s="207"/>
      <c r="U68" s="207"/>
      <c r="V68" s="207"/>
      <c r="W68" s="207"/>
      <c r="X68" s="207"/>
      <c r="Y68" s="247"/>
      <c r="Z68" s="248"/>
      <c r="AA68" s="110"/>
    </row>
    <row r="69" spans="2:27" s="4" customFormat="1" ht="5.15" customHeight="1" x14ac:dyDescent="0.45">
      <c r="B69" s="33"/>
      <c r="C69" s="130"/>
      <c r="D69" s="37"/>
      <c r="E69" s="131"/>
      <c r="F69" s="37"/>
      <c r="G69" s="132"/>
      <c r="H69" s="37"/>
      <c r="I69" s="36"/>
      <c r="K69" s="34"/>
      <c r="M69" s="56"/>
      <c r="N69" s="56"/>
      <c r="O69" s="55"/>
      <c r="P69" s="55"/>
      <c r="Q69" s="55"/>
      <c r="R69" s="55"/>
      <c r="S69" s="55"/>
      <c r="T69" s="57"/>
      <c r="U69" s="57"/>
      <c r="V69" s="57"/>
      <c r="W69" s="57"/>
      <c r="X69" s="57"/>
      <c r="Y69" s="1"/>
      <c r="Z69" s="1"/>
    </row>
    <row r="70" spans="2:27" s="4" customFormat="1" ht="56.9" customHeight="1" x14ac:dyDescent="0.45">
      <c r="B70" s="33"/>
      <c r="C70" s="130" t="s">
        <v>140</v>
      </c>
      <c r="D70" s="10"/>
      <c r="E70" s="131" t="s">
        <v>32</v>
      </c>
      <c r="F70" s="11"/>
      <c r="G70" s="132" t="s">
        <v>33</v>
      </c>
      <c r="H70" s="35"/>
      <c r="I70" s="137" t="s">
        <v>36</v>
      </c>
      <c r="J70" s="137"/>
      <c r="K70" s="138"/>
      <c r="M70" s="238"/>
      <c r="N70" s="238"/>
      <c r="O70" s="238"/>
      <c r="P70" s="238"/>
      <c r="Q70" s="238"/>
      <c r="R70" s="238"/>
      <c r="S70" s="238"/>
      <c r="T70" s="238"/>
      <c r="U70" s="238"/>
      <c r="V70" s="238"/>
      <c r="W70" s="238"/>
      <c r="X70" s="238"/>
      <c r="Y70" s="249"/>
      <c r="Z70" s="249"/>
      <c r="AA70" s="80"/>
    </row>
    <row r="71" spans="2:27" s="4" customFormat="1" ht="5.15" customHeight="1" x14ac:dyDescent="0.45">
      <c r="B71" s="33"/>
      <c r="C71" s="130"/>
      <c r="D71" s="37"/>
      <c r="E71" s="131"/>
      <c r="F71" s="37"/>
      <c r="G71" s="132"/>
      <c r="H71" s="37"/>
      <c r="I71" s="36"/>
      <c r="J71" s="36"/>
      <c r="K71" s="38"/>
      <c r="M71" s="238"/>
      <c r="N71" s="238"/>
      <c r="O71" s="238"/>
      <c r="P71" s="238"/>
      <c r="Q71" s="238"/>
      <c r="R71" s="238"/>
      <c r="S71" s="238"/>
      <c r="T71" s="57"/>
      <c r="U71" s="57"/>
      <c r="V71" s="57"/>
      <c r="W71" s="57"/>
      <c r="X71" s="57"/>
      <c r="Y71" s="1"/>
      <c r="Z71" s="1"/>
    </row>
    <row r="72" spans="2:27" s="4" customFormat="1" ht="56.9" customHeight="1" x14ac:dyDescent="0.45">
      <c r="B72" s="33"/>
      <c r="C72" s="130" t="s">
        <v>140</v>
      </c>
      <c r="D72" s="10"/>
      <c r="E72" s="131" t="s">
        <v>32</v>
      </c>
      <c r="F72" s="11"/>
      <c r="G72" s="132" t="s">
        <v>33</v>
      </c>
      <c r="H72" s="35"/>
      <c r="I72" s="139" t="s">
        <v>37</v>
      </c>
      <c r="J72" s="137"/>
      <c r="K72" s="138"/>
      <c r="M72" s="238"/>
      <c r="N72" s="238"/>
      <c r="O72" s="238"/>
      <c r="P72" s="238"/>
      <c r="Q72" s="238"/>
      <c r="R72" s="238"/>
      <c r="S72" s="238"/>
      <c r="T72" s="238"/>
      <c r="U72" s="238"/>
      <c r="V72" s="238"/>
      <c r="W72" s="238"/>
      <c r="X72" s="238"/>
      <c r="Y72" s="249"/>
      <c r="Z72" s="249"/>
      <c r="AA72" s="80"/>
    </row>
    <row r="73" spans="2:27" s="13" customFormat="1" ht="5.15" customHeight="1" x14ac:dyDescent="0.5">
      <c r="B73" s="39"/>
      <c r="C73" s="130"/>
      <c r="D73" s="15"/>
      <c r="E73" s="131"/>
      <c r="F73" s="16"/>
      <c r="G73" s="132"/>
      <c r="H73" s="17"/>
      <c r="I73" s="40"/>
      <c r="J73" s="40"/>
      <c r="K73" s="41"/>
      <c r="M73" s="58"/>
      <c r="N73" s="58"/>
      <c r="O73" s="59"/>
      <c r="P73" s="60"/>
      <c r="Q73" s="61"/>
      <c r="R73" s="61"/>
      <c r="S73" s="62"/>
      <c r="T73" s="63"/>
      <c r="U73" s="58"/>
      <c r="V73" s="58"/>
      <c r="W73" s="58"/>
      <c r="X73" s="64"/>
      <c r="Y73" s="1"/>
      <c r="Z73" s="1"/>
    </row>
    <row r="74" spans="2:27" s="13" customFormat="1" ht="56.9" customHeight="1" x14ac:dyDescent="0.5">
      <c r="B74" s="39"/>
      <c r="C74" s="130" t="s">
        <v>140</v>
      </c>
      <c r="D74" s="10"/>
      <c r="E74" s="131" t="s">
        <v>32</v>
      </c>
      <c r="F74" s="11"/>
      <c r="G74" s="132" t="s">
        <v>33</v>
      </c>
      <c r="H74" s="20"/>
      <c r="I74" s="139" t="s">
        <v>38</v>
      </c>
      <c r="J74" s="137"/>
      <c r="K74" s="138"/>
      <c r="M74" s="238"/>
      <c r="N74" s="238"/>
      <c r="O74" s="238"/>
      <c r="P74" s="238"/>
      <c r="Q74" s="238"/>
      <c r="R74" s="238"/>
      <c r="S74" s="238"/>
      <c r="T74" s="250"/>
      <c r="U74" s="251"/>
      <c r="V74" s="251"/>
      <c r="W74" s="251"/>
      <c r="X74" s="252"/>
      <c r="Y74" s="247"/>
      <c r="Z74" s="248"/>
      <c r="AA74" s="110"/>
    </row>
    <row r="75" spans="2:27" s="13" customFormat="1" ht="5.15" customHeight="1" x14ac:dyDescent="0.5">
      <c r="B75" s="39"/>
      <c r="C75" s="130"/>
      <c r="D75" s="37"/>
      <c r="E75" s="37"/>
      <c r="F75" s="37"/>
      <c r="G75" s="132"/>
      <c r="H75" s="42"/>
      <c r="I75" s="43"/>
      <c r="J75" s="43"/>
      <c r="K75" s="44"/>
      <c r="M75" s="65"/>
      <c r="N75" s="58"/>
      <c r="O75" s="59"/>
      <c r="P75" s="60"/>
      <c r="Q75" s="61"/>
      <c r="R75" s="61"/>
      <c r="S75" s="62"/>
      <c r="T75" s="63"/>
      <c r="U75" s="58"/>
      <c r="V75" s="58"/>
      <c r="W75" s="58"/>
      <c r="X75" s="64"/>
      <c r="Y75" s="1"/>
      <c r="Z75" s="1"/>
    </row>
    <row r="76" spans="2:27" s="13" customFormat="1" ht="56.9" customHeight="1" x14ac:dyDescent="0.5">
      <c r="B76" s="39"/>
      <c r="C76" s="130" t="s">
        <v>140</v>
      </c>
      <c r="D76" s="10"/>
      <c r="E76" s="131" t="s">
        <v>32</v>
      </c>
      <c r="F76" s="11"/>
      <c r="G76" s="132" t="s">
        <v>33</v>
      </c>
      <c r="H76" s="20"/>
      <c r="I76" s="139" t="s">
        <v>39</v>
      </c>
      <c r="J76" s="137"/>
      <c r="K76" s="138"/>
      <c r="M76" s="238"/>
      <c r="N76" s="238"/>
      <c r="O76" s="238"/>
      <c r="P76" s="238"/>
      <c r="Q76" s="238"/>
      <c r="R76" s="238"/>
      <c r="S76" s="238"/>
      <c r="T76" s="238"/>
      <c r="U76" s="238"/>
      <c r="V76" s="238"/>
      <c r="W76" s="238"/>
      <c r="X76" s="238"/>
      <c r="Y76" s="247"/>
      <c r="Z76" s="248"/>
      <c r="AA76" s="110"/>
    </row>
    <row r="77" spans="2:27" s="13" customFormat="1" ht="5.15" customHeight="1" x14ac:dyDescent="0.5">
      <c r="B77" s="39"/>
      <c r="C77" s="130"/>
      <c r="D77" s="37"/>
      <c r="E77" s="131"/>
      <c r="F77" s="37"/>
      <c r="G77" s="132"/>
      <c r="H77" s="42"/>
      <c r="I77" s="43"/>
      <c r="J77" s="43"/>
      <c r="K77" s="44"/>
      <c r="M77" s="65"/>
      <c r="N77" s="58"/>
      <c r="O77" s="59"/>
      <c r="P77" s="60"/>
      <c r="Q77" s="61"/>
      <c r="R77" s="61"/>
      <c r="S77" s="62"/>
      <c r="T77" s="63"/>
      <c r="U77" s="58"/>
      <c r="V77" s="58"/>
      <c r="W77" s="58"/>
      <c r="X77" s="64"/>
      <c r="Y77" s="1"/>
      <c r="Z77" s="1"/>
    </row>
    <row r="78" spans="2:27" s="13" customFormat="1" ht="75.75" customHeight="1" x14ac:dyDescent="0.5">
      <c r="B78" s="39"/>
      <c r="C78" s="130" t="s">
        <v>140</v>
      </c>
      <c r="D78" s="10"/>
      <c r="E78" s="131" t="s">
        <v>32</v>
      </c>
      <c r="F78" s="11"/>
      <c r="G78" s="132" t="s">
        <v>33</v>
      </c>
      <c r="H78" s="20"/>
      <c r="I78" s="139" t="s">
        <v>40</v>
      </c>
      <c r="J78" s="137"/>
      <c r="K78" s="138"/>
      <c r="M78" s="238"/>
      <c r="N78" s="238"/>
      <c r="O78" s="238"/>
      <c r="P78" s="238"/>
      <c r="Q78" s="238"/>
      <c r="R78" s="238"/>
      <c r="S78" s="238"/>
      <c r="T78" s="238"/>
      <c r="U78" s="238"/>
      <c r="V78" s="238"/>
      <c r="W78" s="238"/>
      <c r="X78" s="238"/>
      <c r="Y78" s="249"/>
      <c r="Z78" s="249"/>
      <c r="AA78" s="5"/>
    </row>
    <row r="79" spans="2:27" s="13" customFormat="1" ht="44.9" customHeight="1" x14ac:dyDescent="0.5">
      <c r="B79" s="45"/>
      <c r="C79" s="46"/>
      <c r="D79" s="46"/>
      <c r="E79" s="46"/>
      <c r="F79" s="46"/>
      <c r="G79" s="46"/>
      <c r="H79" s="47"/>
      <c r="I79" s="48"/>
      <c r="J79" s="48"/>
      <c r="K79" s="32"/>
      <c r="L79" s="22"/>
      <c r="M79" s="18"/>
      <c r="N79" s="14"/>
      <c r="O79" s="15"/>
      <c r="P79" s="16"/>
      <c r="Q79" s="16"/>
      <c r="R79" s="17"/>
      <c r="S79" s="19"/>
      <c r="T79" s="18"/>
      <c r="U79" s="18"/>
      <c r="V79" s="18"/>
      <c r="Y79" s="1"/>
      <c r="Z79" s="1"/>
    </row>
    <row r="80" spans="2:27" s="13" customFormat="1" ht="21" customHeight="1" x14ac:dyDescent="0.5">
      <c r="B80" s="177" t="s">
        <v>41</v>
      </c>
      <c r="C80" s="177"/>
      <c r="D80" s="177"/>
      <c r="E80" s="177"/>
      <c r="F80" s="177"/>
      <c r="G80" s="177"/>
      <c r="H80" s="177"/>
      <c r="I80" s="177"/>
      <c r="J80" s="177"/>
      <c r="K80" s="177"/>
      <c r="L80" s="177"/>
      <c r="M80" s="177"/>
      <c r="N80" s="177"/>
      <c r="O80" s="177"/>
      <c r="P80" s="177"/>
      <c r="Q80" s="177"/>
      <c r="R80" s="177"/>
      <c r="S80" s="177"/>
      <c r="T80" s="177"/>
      <c r="U80" s="177"/>
      <c r="V80" s="177"/>
      <c r="W80" s="177"/>
      <c r="Y80" s="1"/>
      <c r="Z80" s="1"/>
    </row>
    <row r="81" spans="2:60" s="13" customFormat="1" ht="9.65" customHeight="1" x14ac:dyDescent="0.5">
      <c r="C81" s="14"/>
      <c r="D81" s="15"/>
      <c r="E81" s="16"/>
      <c r="F81" s="16"/>
      <c r="G81" s="17"/>
      <c r="H81" s="17"/>
      <c r="I81" s="18"/>
      <c r="J81" s="18"/>
      <c r="K81" s="18"/>
      <c r="L81" s="18"/>
      <c r="M81" s="18"/>
      <c r="N81" s="14"/>
      <c r="O81" s="15"/>
      <c r="P81" s="16"/>
      <c r="Q81" s="16"/>
      <c r="R81" s="17"/>
      <c r="S81" s="19"/>
      <c r="T81" s="18"/>
      <c r="U81" s="18"/>
      <c r="V81" s="18"/>
      <c r="Y81" s="1"/>
      <c r="Z81" s="1"/>
    </row>
    <row r="82" spans="2:60" ht="51.75" customHeight="1" x14ac:dyDescent="0.35">
      <c r="B82" s="189" t="s">
        <v>0</v>
      </c>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c r="AA82" s="189"/>
    </row>
    <row r="83" spans="2:60" ht="18" customHeight="1" x14ac:dyDescent="0.35">
      <c r="C83" s="2"/>
      <c r="D83" s="2"/>
      <c r="E83" s="2"/>
      <c r="F83" s="2"/>
      <c r="G83" s="2"/>
      <c r="H83" s="2"/>
      <c r="I83" s="2"/>
      <c r="J83" s="2"/>
      <c r="K83" s="2"/>
      <c r="L83" s="2"/>
      <c r="M83" s="2"/>
      <c r="N83" s="2"/>
      <c r="O83" s="2"/>
      <c r="P83" s="2"/>
      <c r="Q83" s="2"/>
      <c r="R83" s="2"/>
      <c r="S83" s="2"/>
      <c r="T83" s="2"/>
      <c r="U83" s="2"/>
      <c r="V83" s="2"/>
      <c r="W83" s="2"/>
    </row>
    <row r="84" spans="2:60" s="6" customFormat="1" ht="37.5" customHeight="1" x14ac:dyDescent="0.35">
      <c r="B84" s="260" t="s">
        <v>42</v>
      </c>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c r="AA84" s="260"/>
    </row>
    <row r="85" spans="2:60" s="6" customFormat="1" ht="28.4" customHeight="1" x14ac:dyDescent="0.35">
      <c r="B85" s="178" t="s">
        <v>43</v>
      </c>
      <c r="C85" s="178"/>
      <c r="D85" s="178"/>
      <c r="E85" s="178"/>
      <c r="F85" s="178"/>
      <c r="G85" s="178"/>
      <c r="H85" s="178"/>
      <c r="I85" s="179" t="s">
        <v>44</v>
      </c>
      <c r="J85" s="157" t="s">
        <v>45</v>
      </c>
      <c r="K85" s="157" t="s">
        <v>46</v>
      </c>
      <c r="L85" s="157" t="s">
        <v>45</v>
      </c>
      <c r="M85" s="157" t="s">
        <v>47</v>
      </c>
      <c r="N85" s="157"/>
      <c r="O85" s="157"/>
      <c r="P85" s="157"/>
      <c r="Q85" s="157"/>
      <c r="R85" s="157"/>
      <c r="S85" s="157" t="s">
        <v>45</v>
      </c>
      <c r="T85" s="157" t="s">
        <v>48</v>
      </c>
      <c r="U85" s="157" t="s">
        <v>45</v>
      </c>
      <c r="V85" s="157" t="s">
        <v>49</v>
      </c>
      <c r="W85" s="157" t="s">
        <v>45</v>
      </c>
      <c r="X85" s="157" t="s">
        <v>135</v>
      </c>
      <c r="Y85" s="157" t="s">
        <v>30</v>
      </c>
      <c r="Z85" s="157" t="s">
        <v>50</v>
      </c>
      <c r="AA85" s="157" t="s">
        <v>51</v>
      </c>
    </row>
    <row r="86" spans="2:60" ht="11.9" customHeight="1" x14ac:dyDescent="0.35">
      <c r="B86" s="178"/>
      <c r="C86" s="178"/>
      <c r="D86" s="178"/>
      <c r="E86" s="178"/>
      <c r="F86" s="178"/>
      <c r="G86" s="178"/>
      <c r="H86" s="178"/>
      <c r="I86" s="179"/>
      <c r="J86" s="157"/>
      <c r="K86" s="157"/>
      <c r="L86" s="157"/>
      <c r="M86" s="157"/>
      <c r="N86" s="157"/>
      <c r="O86" s="157"/>
      <c r="P86" s="157"/>
      <c r="Q86" s="157"/>
      <c r="R86" s="157"/>
      <c r="S86" s="157"/>
      <c r="T86" s="157"/>
      <c r="U86" s="157"/>
      <c r="V86" s="157"/>
      <c r="W86" s="157"/>
      <c r="X86" s="157"/>
      <c r="Y86" s="157"/>
      <c r="Z86" s="157"/>
      <c r="AA86" s="157"/>
    </row>
    <row r="87" spans="2:60" ht="65.900000000000006" customHeight="1" x14ac:dyDescent="0.35">
      <c r="B87" s="178"/>
      <c r="C87" s="178"/>
      <c r="D87" s="178"/>
      <c r="E87" s="178"/>
      <c r="F87" s="178"/>
      <c r="G87" s="178"/>
      <c r="H87" s="178"/>
      <c r="I87" s="179"/>
      <c r="J87" s="157"/>
      <c r="K87" s="157"/>
      <c r="L87" s="157"/>
      <c r="M87" s="157"/>
      <c r="N87" s="157"/>
      <c r="O87" s="157"/>
      <c r="P87" s="157"/>
      <c r="Q87" s="157"/>
      <c r="R87" s="157"/>
      <c r="S87" s="157"/>
      <c r="T87" s="157"/>
      <c r="U87" s="157"/>
      <c r="V87" s="157"/>
      <c r="W87" s="157"/>
      <c r="X87" s="157"/>
      <c r="Y87" s="157"/>
      <c r="Z87" s="157"/>
      <c r="AA87" s="157"/>
    </row>
    <row r="88" spans="2:60" x14ac:dyDescent="0.35">
      <c r="B88" s="162"/>
      <c r="C88" s="162"/>
      <c r="D88" s="162"/>
      <c r="E88" s="162"/>
      <c r="F88" s="162"/>
      <c r="G88" s="162"/>
      <c r="H88" s="162"/>
      <c r="I88" s="163"/>
      <c r="J88" s="162"/>
      <c r="K88" s="163"/>
      <c r="L88" s="162"/>
      <c r="M88" s="163"/>
      <c r="N88" s="162"/>
      <c r="O88" s="162"/>
      <c r="P88" s="162"/>
      <c r="Q88" s="162"/>
      <c r="R88" s="162"/>
      <c r="S88" s="162"/>
      <c r="T88" s="162"/>
      <c r="U88" s="162"/>
      <c r="V88" s="162"/>
      <c r="W88" s="162"/>
      <c r="X88" s="183"/>
      <c r="Y88" s="174"/>
      <c r="Z88" s="158"/>
      <c r="AA88" s="158"/>
      <c r="AE88" s="1" t="str">
        <f>IF(AA88&lt;&gt;"",AA88,"")</f>
        <v/>
      </c>
      <c r="AF88" s="1" t="str">
        <f>IF(AE88&lt;&gt;"","("&amp;AE88&amp;") "&amp;AD88,"")</f>
        <v/>
      </c>
      <c r="AH88" s="1" t="str">
        <f>IF(AG88&lt;&gt;"","("&amp;AG88&amp;") "&amp;AF88,"")</f>
        <v/>
      </c>
      <c r="AM88" s="1" t="str">
        <f>_xlfn.TEXTJOIN(CHAR(10),TRUE,AF88:AF139)</f>
        <v/>
      </c>
      <c r="BF88" s="1" t="str">
        <f>IF(X88&lt;&gt;"",X88,"")</f>
        <v/>
      </c>
      <c r="BG88" s="1" t="str">
        <f>IF(AA88="Y","("&amp;AA88&amp;")"&amp;" "&amp;BF88,"")</f>
        <v/>
      </c>
      <c r="BH88" s="1" t="str">
        <f>_xlfn.TEXTJOIN(CHAR(10),TRUE,BG88:BG140)</f>
        <v/>
      </c>
    </row>
    <row r="89" spans="2:60" ht="21" customHeight="1" x14ac:dyDescent="0.35">
      <c r="B89" s="162"/>
      <c r="C89" s="162"/>
      <c r="D89" s="162"/>
      <c r="E89" s="162"/>
      <c r="F89" s="162"/>
      <c r="G89" s="162"/>
      <c r="H89" s="162"/>
      <c r="I89" s="162"/>
      <c r="J89" s="162"/>
      <c r="K89" s="162"/>
      <c r="L89" s="162"/>
      <c r="M89" s="162"/>
      <c r="N89" s="162"/>
      <c r="O89" s="162"/>
      <c r="P89" s="162"/>
      <c r="Q89" s="162"/>
      <c r="R89" s="162"/>
      <c r="S89" s="162"/>
      <c r="T89" s="162"/>
      <c r="U89" s="162"/>
      <c r="V89" s="162"/>
      <c r="W89" s="162"/>
      <c r="X89" s="184"/>
      <c r="Y89" s="175"/>
      <c r="Z89" s="159"/>
      <c r="AA89" s="159"/>
    </row>
    <row r="90" spans="2:60" ht="21" customHeight="1" x14ac:dyDescent="0.35">
      <c r="B90" s="162"/>
      <c r="C90" s="162"/>
      <c r="D90" s="162"/>
      <c r="E90" s="162"/>
      <c r="F90" s="162"/>
      <c r="G90" s="162"/>
      <c r="H90" s="162"/>
      <c r="I90" s="162"/>
      <c r="J90" s="162"/>
      <c r="K90" s="162"/>
      <c r="L90" s="162"/>
      <c r="M90" s="162"/>
      <c r="N90" s="162"/>
      <c r="O90" s="162"/>
      <c r="P90" s="162"/>
      <c r="Q90" s="162"/>
      <c r="R90" s="162"/>
      <c r="S90" s="162"/>
      <c r="T90" s="162"/>
      <c r="U90" s="162"/>
      <c r="V90" s="162"/>
      <c r="W90" s="162"/>
      <c r="X90" s="184"/>
      <c r="Y90" s="175"/>
      <c r="Z90" s="159"/>
      <c r="AA90" s="159"/>
    </row>
    <row r="91" spans="2:60" ht="21" customHeight="1" x14ac:dyDescent="0.35">
      <c r="B91" s="162"/>
      <c r="C91" s="162"/>
      <c r="D91" s="162"/>
      <c r="E91" s="162"/>
      <c r="F91" s="162"/>
      <c r="G91" s="162"/>
      <c r="H91" s="162"/>
      <c r="I91" s="162"/>
      <c r="J91" s="162"/>
      <c r="K91" s="162"/>
      <c r="L91" s="162"/>
      <c r="M91" s="162"/>
      <c r="N91" s="162"/>
      <c r="O91" s="162"/>
      <c r="P91" s="162"/>
      <c r="Q91" s="162"/>
      <c r="R91" s="162"/>
      <c r="S91" s="162"/>
      <c r="T91" s="162"/>
      <c r="U91" s="162"/>
      <c r="V91" s="162"/>
      <c r="W91" s="162"/>
      <c r="X91" s="184"/>
      <c r="Y91" s="175"/>
      <c r="Z91" s="159"/>
      <c r="AA91" s="159"/>
    </row>
    <row r="92" spans="2:60" ht="21" customHeight="1" x14ac:dyDescent="0.35">
      <c r="B92" s="162"/>
      <c r="C92" s="162"/>
      <c r="D92" s="162"/>
      <c r="E92" s="162"/>
      <c r="F92" s="162"/>
      <c r="G92" s="162"/>
      <c r="H92" s="162"/>
      <c r="I92" s="162"/>
      <c r="J92" s="162"/>
      <c r="K92" s="162"/>
      <c r="L92" s="162"/>
      <c r="M92" s="162"/>
      <c r="N92" s="162"/>
      <c r="O92" s="162"/>
      <c r="P92" s="162"/>
      <c r="Q92" s="162"/>
      <c r="R92" s="162"/>
      <c r="S92" s="162"/>
      <c r="T92" s="162"/>
      <c r="U92" s="162"/>
      <c r="V92" s="162"/>
      <c r="W92" s="162"/>
      <c r="X92" s="184"/>
      <c r="Y92" s="175"/>
      <c r="Z92" s="159"/>
      <c r="AA92" s="159"/>
    </row>
    <row r="93" spans="2:60" ht="21" customHeight="1" x14ac:dyDescent="0.35">
      <c r="B93" s="162"/>
      <c r="C93" s="162"/>
      <c r="D93" s="162"/>
      <c r="E93" s="162"/>
      <c r="F93" s="162"/>
      <c r="G93" s="162"/>
      <c r="H93" s="162"/>
      <c r="I93" s="162"/>
      <c r="J93" s="162"/>
      <c r="K93" s="162"/>
      <c r="L93" s="162"/>
      <c r="M93" s="162"/>
      <c r="N93" s="162"/>
      <c r="O93" s="162"/>
      <c r="P93" s="162"/>
      <c r="Q93" s="162"/>
      <c r="R93" s="162"/>
      <c r="S93" s="162"/>
      <c r="T93" s="162"/>
      <c r="U93" s="162"/>
      <c r="V93" s="162"/>
      <c r="W93" s="162"/>
      <c r="X93" s="184"/>
      <c r="Y93" s="175"/>
      <c r="Z93" s="159"/>
      <c r="AA93" s="159"/>
    </row>
    <row r="94" spans="2:60" ht="21" customHeight="1" x14ac:dyDescent="0.35">
      <c r="B94" s="162"/>
      <c r="C94" s="162"/>
      <c r="D94" s="162"/>
      <c r="E94" s="162"/>
      <c r="F94" s="162"/>
      <c r="G94" s="162"/>
      <c r="H94" s="162"/>
      <c r="I94" s="162"/>
      <c r="J94" s="162"/>
      <c r="K94" s="162"/>
      <c r="L94" s="162"/>
      <c r="M94" s="162"/>
      <c r="N94" s="162"/>
      <c r="O94" s="162"/>
      <c r="P94" s="162"/>
      <c r="Q94" s="162"/>
      <c r="R94" s="162"/>
      <c r="S94" s="162"/>
      <c r="T94" s="162"/>
      <c r="U94" s="162"/>
      <c r="V94" s="162"/>
      <c r="W94" s="162"/>
      <c r="X94" s="184"/>
      <c r="Y94" s="175"/>
      <c r="Z94" s="159"/>
      <c r="AA94" s="159"/>
    </row>
    <row r="95" spans="2:60" ht="21" customHeight="1" x14ac:dyDescent="0.35">
      <c r="B95" s="162"/>
      <c r="C95" s="162"/>
      <c r="D95" s="162"/>
      <c r="E95" s="162"/>
      <c r="F95" s="162"/>
      <c r="G95" s="162"/>
      <c r="H95" s="162"/>
      <c r="I95" s="162"/>
      <c r="J95" s="162"/>
      <c r="K95" s="162"/>
      <c r="L95" s="162"/>
      <c r="M95" s="162"/>
      <c r="N95" s="162"/>
      <c r="O95" s="162"/>
      <c r="P95" s="162"/>
      <c r="Q95" s="162"/>
      <c r="R95" s="162"/>
      <c r="S95" s="162"/>
      <c r="T95" s="162"/>
      <c r="U95" s="162"/>
      <c r="V95" s="162"/>
      <c r="W95" s="162"/>
      <c r="X95" s="185"/>
      <c r="Y95" s="176"/>
      <c r="Z95" s="160"/>
      <c r="AA95" s="160"/>
    </row>
    <row r="96" spans="2:60" x14ac:dyDescent="0.35">
      <c r="B96" s="161"/>
      <c r="C96" s="161"/>
      <c r="D96" s="161"/>
      <c r="E96" s="161"/>
      <c r="F96" s="161"/>
      <c r="G96" s="161"/>
      <c r="H96" s="161"/>
      <c r="I96" s="81"/>
      <c r="J96" s="81"/>
      <c r="K96" s="81"/>
      <c r="L96" s="81"/>
      <c r="M96" s="81"/>
      <c r="N96" s="81"/>
      <c r="O96" s="81"/>
      <c r="P96" s="81"/>
      <c r="Q96" s="81"/>
      <c r="R96" s="81"/>
      <c r="S96" s="81"/>
      <c r="T96" s="81"/>
      <c r="U96" s="81"/>
      <c r="V96" s="81"/>
      <c r="W96" s="81"/>
      <c r="X96" s="81"/>
      <c r="Y96" s="50"/>
      <c r="Z96" s="50"/>
      <c r="AA96" s="50"/>
    </row>
    <row r="97" spans="2:59" ht="14.9" customHeight="1" x14ac:dyDescent="0.35">
      <c r="B97" s="162"/>
      <c r="C97" s="162"/>
      <c r="D97" s="162"/>
      <c r="E97" s="162"/>
      <c r="F97" s="162"/>
      <c r="G97" s="162"/>
      <c r="H97" s="162"/>
      <c r="I97" s="163"/>
      <c r="J97" s="162"/>
      <c r="K97" s="163"/>
      <c r="L97" s="162"/>
      <c r="M97" s="162"/>
      <c r="N97" s="162"/>
      <c r="O97" s="162"/>
      <c r="P97" s="162"/>
      <c r="Q97" s="162"/>
      <c r="R97" s="162"/>
      <c r="S97" s="162"/>
      <c r="T97" s="162"/>
      <c r="U97" s="162"/>
      <c r="V97" s="162"/>
      <c r="W97" s="162"/>
      <c r="X97" s="183"/>
      <c r="Y97" s="174"/>
      <c r="Z97" s="158"/>
      <c r="AA97" s="158"/>
      <c r="AD97" s="1" t="str">
        <f>IF(X97&lt;&gt;"",X97,"")</f>
        <v/>
      </c>
      <c r="AE97" s="1" t="str">
        <f>IF(AA97&lt;&gt;"",AA97,"")</f>
        <v/>
      </c>
      <c r="AF97" s="1" t="str">
        <f>IF(AE97&lt;&gt;"","("&amp;AE97&amp;") "&amp;AD97,"")</f>
        <v/>
      </c>
      <c r="BF97" s="1" t="str">
        <f>IF(X97&lt;&gt;"",X97,"")</f>
        <v/>
      </c>
      <c r="BG97" s="1" t="str">
        <f>IF(AA97="Y","("&amp;AA97&amp;")"&amp;" "&amp;BF97,"")</f>
        <v/>
      </c>
    </row>
    <row r="98" spans="2:59" x14ac:dyDescent="0.35">
      <c r="B98" s="162"/>
      <c r="C98" s="162"/>
      <c r="D98" s="162"/>
      <c r="E98" s="162"/>
      <c r="F98" s="162"/>
      <c r="G98" s="162"/>
      <c r="H98" s="162"/>
      <c r="I98" s="162"/>
      <c r="J98" s="162"/>
      <c r="K98" s="162"/>
      <c r="L98" s="162"/>
      <c r="M98" s="162"/>
      <c r="N98" s="162"/>
      <c r="O98" s="162"/>
      <c r="P98" s="162"/>
      <c r="Q98" s="162"/>
      <c r="R98" s="162"/>
      <c r="S98" s="162"/>
      <c r="T98" s="162"/>
      <c r="U98" s="162"/>
      <c r="V98" s="162"/>
      <c r="W98" s="162"/>
      <c r="X98" s="184"/>
      <c r="Y98" s="175"/>
      <c r="Z98" s="175"/>
      <c r="AA98" s="175"/>
    </row>
    <row r="99" spans="2:59" x14ac:dyDescent="0.35">
      <c r="B99" s="162"/>
      <c r="C99" s="162"/>
      <c r="D99" s="162"/>
      <c r="E99" s="162"/>
      <c r="F99" s="162"/>
      <c r="G99" s="162"/>
      <c r="H99" s="162"/>
      <c r="I99" s="162"/>
      <c r="J99" s="162"/>
      <c r="K99" s="162"/>
      <c r="L99" s="162"/>
      <c r="M99" s="162"/>
      <c r="N99" s="162"/>
      <c r="O99" s="162"/>
      <c r="P99" s="162"/>
      <c r="Q99" s="162"/>
      <c r="R99" s="162"/>
      <c r="S99" s="162"/>
      <c r="T99" s="162"/>
      <c r="U99" s="162"/>
      <c r="V99" s="162"/>
      <c r="W99" s="162"/>
      <c r="X99" s="184"/>
      <c r="Y99" s="175"/>
      <c r="Z99" s="175"/>
      <c r="AA99" s="175"/>
    </row>
    <row r="100" spans="2:59" x14ac:dyDescent="0.35">
      <c r="B100" s="162"/>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84"/>
      <c r="Y100" s="175"/>
      <c r="Z100" s="175"/>
      <c r="AA100" s="175"/>
    </row>
    <row r="101" spans="2:59" x14ac:dyDescent="0.35">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84"/>
      <c r="Y101" s="175"/>
      <c r="Z101" s="175"/>
      <c r="AA101" s="175"/>
    </row>
    <row r="102" spans="2:59" x14ac:dyDescent="0.35">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84"/>
      <c r="Y102" s="175"/>
      <c r="Z102" s="175"/>
      <c r="AA102" s="175"/>
    </row>
    <row r="103" spans="2:59" x14ac:dyDescent="0.35">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84"/>
      <c r="Y103" s="175"/>
      <c r="Z103" s="175"/>
      <c r="AA103" s="175"/>
    </row>
    <row r="104" spans="2:59" x14ac:dyDescent="0.35">
      <c r="B104" s="162"/>
      <c r="C104" s="162"/>
      <c r="D104" s="162"/>
      <c r="E104" s="162"/>
      <c r="F104" s="162"/>
      <c r="G104" s="162"/>
      <c r="H104" s="162"/>
      <c r="I104" s="162"/>
      <c r="J104" s="162"/>
      <c r="K104" s="162"/>
      <c r="L104" s="162"/>
      <c r="M104" s="162"/>
      <c r="N104" s="162"/>
      <c r="O104" s="162"/>
      <c r="P104" s="162"/>
      <c r="Q104" s="162"/>
      <c r="R104" s="162"/>
      <c r="S104" s="162"/>
      <c r="T104" s="162"/>
      <c r="U104" s="162"/>
      <c r="V104" s="162"/>
      <c r="W104" s="162"/>
      <c r="X104" s="185"/>
      <c r="Y104" s="176"/>
      <c r="Z104" s="176"/>
      <c r="AA104" s="176"/>
    </row>
    <row r="105" spans="2:59" x14ac:dyDescent="0.35">
      <c r="B105" s="81"/>
      <c r="C105" s="81"/>
      <c r="D105" s="81"/>
      <c r="E105" s="81"/>
      <c r="F105" s="81"/>
      <c r="G105" s="81"/>
      <c r="H105" s="81"/>
      <c r="I105" s="81"/>
      <c r="J105" s="81"/>
      <c r="K105" s="81"/>
      <c r="L105" s="81"/>
      <c r="M105" s="81"/>
      <c r="N105" s="81"/>
      <c r="O105" s="81"/>
      <c r="P105" s="81"/>
      <c r="Q105" s="81"/>
      <c r="R105" s="81"/>
      <c r="S105" s="81"/>
      <c r="T105" s="81"/>
      <c r="U105" s="81"/>
      <c r="V105" s="81"/>
      <c r="W105" s="81"/>
      <c r="X105" s="134"/>
      <c r="Y105" s="50"/>
      <c r="Z105" s="50"/>
      <c r="AA105" s="50"/>
    </row>
    <row r="106" spans="2:59" x14ac:dyDescent="0.35">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80"/>
      <c r="X106" s="183"/>
      <c r="Y106" s="174"/>
      <c r="Z106" s="158"/>
      <c r="AA106" s="158"/>
      <c r="AD106" s="1" t="str">
        <f>IF(X106&lt;&gt;"",X106,"")</f>
        <v/>
      </c>
      <c r="AE106" s="1" t="str">
        <f>IF(AA106&lt;&gt;"",AA106,"")</f>
        <v/>
      </c>
      <c r="AF106" s="1" t="str">
        <f>IF(AE106&lt;&gt;"","("&amp;AE106&amp;") "&amp;AD106,"")</f>
        <v/>
      </c>
      <c r="BF106" s="1" t="str">
        <f>IF(X106&lt;&gt;"",X106,"")</f>
        <v/>
      </c>
      <c r="BG106" s="1" t="str">
        <f>IF(AA106="Y","("&amp;AA106&amp;")"&amp;" "&amp;BF106,"")</f>
        <v/>
      </c>
    </row>
    <row r="107" spans="2:59" x14ac:dyDescent="0.35">
      <c r="B107" s="162"/>
      <c r="C107" s="162"/>
      <c r="D107" s="162"/>
      <c r="E107" s="162"/>
      <c r="F107" s="162"/>
      <c r="G107" s="162"/>
      <c r="H107" s="162"/>
      <c r="I107" s="162"/>
      <c r="J107" s="162"/>
      <c r="K107" s="162"/>
      <c r="L107" s="162"/>
      <c r="M107" s="162"/>
      <c r="N107" s="162"/>
      <c r="O107" s="162"/>
      <c r="P107" s="162"/>
      <c r="Q107" s="162"/>
      <c r="R107" s="162"/>
      <c r="S107" s="162"/>
      <c r="T107" s="162"/>
      <c r="U107" s="162"/>
      <c r="V107" s="162"/>
      <c r="W107" s="181"/>
      <c r="X107" s="184"/>
      <c r="Y107" s="175"/>
      <c r="Z107" s="175"/>
      <c r="AA107" s="175"/>
    </row>
    <row r="108" spans="2:59" x14ac:dyDescent="0.35">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81"/>
      <c r="X108" s="184"/>
      <c r="Y108" s="175"/>
      <c r="Z108" s="175"/>
      <c r="AA108" s="175"/>
    </row>
    <row r="109" spans="2:59" x14ac:dyDescent="0.35">
      <c r="B109" s="162"/>
      <c r="C109" s="162"/>
      <c r="D109" s="162"/>
      <c r="E109" s="162"/>
      <c r="F109" s="162"/>
      <c r="G109" s="162"/>
      <c r="H109" s="162"/>
      <c r="I109" s="162"/>
      <c r="J109" s="162"/>
      <c r="K109" s="162"/>
      <c r="L109" s="162"/>
      <c r="M109" s="162"/>
      <c r="N109" s="162"/>
      <c r="O109" s="162"/>
      <c r="P109" s="162"/>
      <c r="Q109" s="162"/>
      <c r="R109" s="162"/>
      <c r="S109" s="162"/>
      <c r="T109" s="162"/>
      <c r="U109" s="162"/>
      <c r="V109" s="162"/>
      <c r="W109" s="181"/>
      <c r="X109" s="184"/>
      <c r="Y109" s="175"/>
      <c r="Z109" s="175"/>
      <c r="AA109" s="175"/>
    </row>
    <row r="110" spans="2:59" x14ac:dyDescent="0.35">
      <c r="B110" s="162"/>
      <c r="C110" s="162"/>
      <c r="D110" s="162"/>
      <c r="E110" s="162"/>
      <c r="F110" s="162"/>
      <c r="G110" s="162"/>
      <c r="H110" s="162"/>
      <c r="I110" s="162"/>
      <c r="J110" s="162"/>
      <c r="K110" s="162"/>
      <c r="L110" s="162"/>
      <c r="M110" s="162"/>
      <c r="N110" s="162"/>
      <c r="O110" s="162"/>
      <c r="P110" s="162"/>
      <c r="Q110" s="162"/>
      <c r="R110" s="162"/>
      <c r="S110" s="162"/>
      <c r="T110" s="162"/>
      <c r="U110" s="162"/>
      <c r="V110" s="162"/>
      <c r="W110" s="181"/>
      <c r="X110" s="184"/>
      <c r="Y110" s="175"/>
      <c r="Z110" s="175"/>
      <c r="AA110" s="175"/>
    </row>
    <row r="111" spans="2:59" x14ac:dyDescent="0.35">
      <c r="B111" s="162"/>
      <c r="C111" s="162"/>
      <c r="D111" s="162"/>
      <c r="E111" s="162"/>
      <c r="F111" s="162"/>
      <c r="G111" s="162"/>
      <c r="H111" s="162"/>
      <c r="I111" s="162"/>
      <c r="J111" s="162"/>
      <c r="K111" s="162"/>
      <c r="L111" s="162"/>
      <c r="M111" s="162"/>
      <c r="N111" s="162"/>
      <c r="O111" s="162"/>
      <c r="P111" s="162"/>
      <c r="Q111" s="162"/>
      <c r="R111" s="162"/>
      <c r="S111" s="162"/>
      <c r="T111" s="162"/>
      <c r="U111" s="162"/>
      <c r="V111" s="162"/>
      <c r="W111" s="181"/>
      <c r="X111" s="184"/>
      <c r="Y111" s="175"/>
      <c r="Z111" s="175"/>
      <c r="AA111" s="175"/>
    </row>
    <row r="112" spans="2:59" x14ac:dyDescent="0.35">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81"/>
      <c r="X112" s="184"/>
      <c r="Y112" s="175"/>
      <c r="Z112" s="175"/>
      <c r="AA112" s="175"/>
    </row>
    <row r="113" spans="2:59" x14ac:dyDescent="0.35">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82"/>
      <c r="X113" s="185"/>
      <c r="Y113" s="176"/>
      <c r="Z113" s="176"/>
      <c r="AA113" s="176"/>
    </row>
    <row r="114" spans="2:59" x14ac:dyDescent="0.35">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50"/>
      <c r="Z114" s="50"/>
      <c r="AA114" s="50"/>
    </row>
    <row r="115" spans="2:59" ht="15" customHeight="1" x14ac:dyDescent="0.35">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80"/>
      <c r="X115" s="183"/>
      <c r="Y115" s="174"/>
      <c r="Z115" s="158"/>
      <c r="AA115" s="158"/>
      <c r="AD115" s="1" t="str">
        <f>IF(X115&lt;&gt;"",X115,"")</f>
        <v/>
      </c>
      <c r="AE115" s="1" t="str">
        <f>IF(AA115&lt;&gt;"",AA115,"")</f>
        <v/>
      </c>
      <c r="AF115" s="1" t="str">
        <f>IF(AE115&lt;&gt;"","("&amp;AE115&amp;") "&amp;AD115,"")</f>
        <v/>
      </c>
      <c r="BF115" s="1" t="str">
        <f>IF(X115&lt;&gt;"",X115,"")</f>
        <v/>
      </c>
      <c r="BG115" s="1" t="str">
        <f>IF(AA115="Y","("&amp;AA115&amp;")"&amp;" "&amp;BF115,"")</f>
        <v/>
      </c>
    </row>
    <row r="116" spans="2:59" ht="15" customHeight="1" x14ac:dyDescent="0.35">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81"/>
      <c r="X116" s="184"/>
      <c r="Y116" s="175"/>
      <c r="Z116" s="175"/>
      <c r="AA116" s="175"/>
    </row>
    <row r="117" spans="2:59" ht="15" customHeight="1" x14ac:dyDescent="0.35">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81"/>
      <c r="X117" s="184"/>
      <c r="Y117" s="175"/>
      <c r="Z117" s="175"/>
      <c r="AA117" s="175"/>
    </row>
    <row r="118" spans="2:59" ht="15" customHeight="1" x14ac:dyDescent="0.35">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81"/>
      <c r="X118" s="184"/>
      <c r="Y118" s="175"/>
      <c r="Z118" s="175"/>
      <c r="AA118" s="175"/>
    </row>
    <row r="119" spans="2:59" ht="15" customHeight="1" x14ac:dyDescent="0.35">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81"/>
      <c r="X119" s="184"/>
      <c r="Y119" s="175"/>
      <c r="Z119" s="175"/>
      <c r="AA119" s="175"/>
    </row>
    <row r="120" spans="2:59" ht="15" customHeight="1" x14ac:dyDescent="0.35">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81"/>
      <c r="X120" s="184"/>
      <c r="Y120" s="175"/>
      <c r="Z120" s="175"/>
      <c r="AA120" s="175"/>
    </row>
    <row r="121" spans="2:59" ht="15" customHeight="1" x14ac:dyDescent="0.35">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81"/>
      <c r="X121" s="184"/>
      <c r="Y121" s="175"/>
      <c r="Z121" s="175"/>
      <c r="AA121" s="175"/>
    </row>
    <row r="122" spans="2:59" ht="15" customHeight="1" x14ac:dyDescent="0.35">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82"/>
      <c r="X122" s="185"/>
      <c r="Y122" s="176"/>
      <c r="Z122" s="176"/>
      <c r="AA122" s="176"/>
    </row>
    <row r="123" spans="2:59" x14ac:dyDescent="0.35">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spans="2:59" ht="15" customHeight="1" x14ac:dyDescent="0.35">
      <c r="B124" s="187"/>
      <c r="C124" s="187"/>
      <c r="D124" s="187"/>
      <c r="E124" s="187"/>
      <c r="F124" s="187"/>
      <c r="G124" s="187"/>
      <c r="H124" s="187"/>
      <c r="I124" s="187"/>
      <c r="J124" s="162"/>
      <c r="K124" s="187"/>
      <c r="L124" s="162"/>
      <c r="M124" s="187"/>
      <c r="N124" s="187"/>
      <c r="O124" s="187"/>
      <c r="P124" s="187"/>
      <c r="Q124" s="187"/>
      <c r="R124" s="187"/>
      <c r="S124" s="187"/>
      <c r="T124" s="187"/>
      <c r="U124" s="187"/>
      <c r="V124" s="187"/>
      <c r="W124" s="174"/>
      <c r="X124" s="183"/>
      <c r="Y124" s="174"/>
      <c r="Z124" s="158"/>
      <c r="AA124" s="158"/>
      <c r="AD124" s="1" t="str">
        <f>IF(X124&lt;&gt;"",X124,"")</f>
        <v/>
      </c>
      <c r="AE124" s="1" t="str">
        <f>IF(AA124&lt;&gt;"",AA124,"")</f>
        <v/>
      </c>
      <c r="AF124" s="1" t="str">
        <f>IF(AE124&lt;&gt;"","("&amp;AE124&amp;") "&amp;AD124,"")</f>
        <v/>
      </c>
      <c r="BF124" s="1" t="str">
        <f>IF(X124&lt;&gt;"",X124,"")</f>
        <v/>
      </c>
      <c r="BG124" s="1" t="str">
        <f>IF(AA124="Y","("&amp;AA124&amp;")"&amp;" "&amp;BF124,"")</f>
        <v/>
      </c>
    </row>
    <row r="125" spans="2:59" ht="15" customHeight="1" x14ac:dyDescent="0.35">
      <c r="B125" s="187"/>
      <c r="C125" s="187"/>
      <c r="D125" s="187"/>
      <c r="E125" s="187"/>
      <c r="F125" s="187"/>
      <c r="G125" s="187"/>
      <c r="H125" s="187"/>
      <c r="I125" s="187"/>
      <c r="J125" s="162"/>
      <c r="K125" s="187"/>
      <c r="L125" s="162"/>
      <c r="M125" s="187"/>
      <c r="N125" s="187"/>
      <c r="O125" s="187"/>
      <c r="P125" s="187"/>
      <c r="Q125" s="187"/>
      <c r="R125" s="187"/>
      <c r="S125" s="187"/>
      <c r="T125" s="187"/>
      <c r="U125" s="187"/>
      <c r="V125" s="187"/>
      <c r="W125" s="175"/>
      <c r="X125" s="184"/>
      <c r="Y125" s="175"/>
      <c r="Z125" s="175"/>
      <c r="AA125" s="175"/>
    </row>
    <row r="126" spans="2:59" ht="15" customHeight="1" x14ac:dyDescent="0.35">
      <c r="B126" s="187"/>
      <c r="C126" s="187"/>
      <c r="D126" s="187"/>
      <c r="E126" s="187"/>
      <c r="F126" s="187"/>
      <c r="G126" s="187"/>
      <c r="H126" s="187"/>
      <c r="I126" s="187"/>
      <c r="J126" s="162"/>
      <c r="K126" s="187"/>
      <c r="L126" s="162"/>
      <c r="M126" s="187"/>
      <c r="N126" s="187"/>
      <c r="O126" s="187"/>
      <c r="P126" s="187"/>
      <c r="Q126" s="187"/>
      <c r="R126" s="187"/>
      <c r="S126" s="187"/>
      <c r="T126" s="187"/>
      <c r="U126" s="187"/>
      <c r="V126" s="187"/>
      <c r="W126" s="175"/>
      <c r="X126" s="184"/>
      <c r="Y126" s="175"/>
      <c r="Z126" s="175"/>
      <c r="AA126" s="175"/>
    </row>
    <row r="127" spans="2:59" ht="15" customHeight="1" x14ac:dyDescent="0.35">
      <c r="B127" s="187"/>
      <c r="C127" s="187"/>
      <c r="D127" s="187"/>
      <c r="E127" s="187"/>
      <c r="F127" s="187"/>
      <c r="G127" s="187"/>
      <c r="H127" s="187"/>
      <c r="I127" s="187"/>
      <c r="J127" s="162"/>
      <c r="K127" s="187"/>
      <c r="L127" s="162"/>
      <c r="M127" s="187"/>
      <c r="N127" s="187"/>
      <c r="O127" s="187"/>
      <c r="P127" s="187"/>
      <c r="Q127" s="187"/>
      <c r="R127" s="187"/>
      <c r="S127" s="187"/>
      <c r="T127" s="187"/>
      <c r="U127" s="187"/>
      <c r="V127" s="187"/>
      <c r="W127" s="175"/>
      <c r="X127" s="184"/>
      <c r="Y127" s="175"/>
      <c r="Z127" s="175"/>
      <c r="AA127" s="175"/>
    </row>
    <row r="128" spans="2:59" ht="15" customHeight="1" x14ac:dyDescent="0.35">
      <c r="B128" s="187"/>
      <c r="C128" s="187"/>
      <c r="D128" s="187"/>
      <c r="E128" s="187"/>
      <c r="F128" s="187"/>
      <c r="G128" s="187"/>
      <c r="H128" s="187"/>
      <c r="I128" s="187"/>
      <c r="J128" s="162"/>
      <c r="K128" s="187"/>
      <c r="L128" s="162"/>
      <c r="M128" s="187"/>
      <c r="N128" s="187"/>
      <c r="O128" s="187"/>
      <c r="P128" s="187"/>
      <c r="Q128" s="187"/>
      <c r="R128" s="187"/>
      <c r="S128" s="187"/>
      <c r="T128" s="187"/>
      <c r="U128" s="187"/>
      <c r="V128" s="187"/>
      <c r="W128" s="175"/>
      <c r="X128" s="184"/>
      <c r="Y128" s="175"/>
      <c r="Z128" s="175"/>
      <c r="AA128" s="175"/>
    </row>
    <row r="129" spans="2:59" ht="15" customHeight="1" x14ac:dyDescent="0.35">
      <c r="B129" s="187"/>
      <c r="C129" s="187"/>
      <c r="D129" s="187"/>
      <c r="E129" s="187"/>
      <c r="F129" s="187"/>
      <c r="G129" s="187"/>
      <c r="H129" s="187"/>
      <c r="I129" s="187"/>
      <c r="J129" s="162"/>
      <c r="K129" s="187"/>
      <c r="L129" s="162"/>
      <c r="M129" s="187"/>
      <c r="N129" s="187"/>
      <c r="O129" s="187"/>
      <c r="P129" s="187"/>
      <c r="Q129" s="187"/>
      <c r="R129" s="187"/>
      <c r="S129" s="187"/>
      <c r="T129" s="187"/>
      <c r="U129" s="187"/>
      <c r="V129" s="187"/>
      <c r="W129" s="175"/>
      <c r="X129" s="184"/>
      <c r="Y129" s="175"/>
      <c r="Z129" s="175"/>
      <c r="AA129" s="175"/>
    </row>
    <row r="130" spans="2:59" ht="15" customHeight="1" x14ac:dyDescent="0.35">
      <c r="B130" s="187"/>
      <c r="C130" s="187"/>
      <c r="D130" s="187"/>
      <c r="E130" s="187"/>
      <c r="F130" s="187"/>
      <c r="G130" s="187"/>
      <c r="H130" s="187"/>
      <c r="I130" s="187"/>
      <c r="J130" s="162"/>
      <c r="K130" s="187"/>
      <c r="L130" s="162"/>
      <c r="M130" s="187"/>
      <c r="N130" s="187"/>
      <c r="O130" s="187"/>
      <c r="P130" s="187"/>
      <c r="Q130" s="187"/>
      <c r="R130" s="187"/>
      <c r="S130" s="187"/>
      <c r="T130" s="187"/>
      <c r="U130" s="187"/>
      <c r="V130" s="187"/>
      <c r="W130" s="175"/>
      <c r="X130" s="184"/>
      <c r="Y130" s="175"/>
      <c r="Z130" s="175"/>
      <c r="AA130" s="175"/>
    </row>
    <row r="131" spans="2:59" ht="15" customHeight="1" x14ac:dyDescent="0.35">
      <c r="B131" s="187"/>
      <c r="C131" s="187"/>
      <c r="D131" s="187"/>
      <c r="E131" s="187"/>
      <c r="F131" s="187"/>
      <c r="G131" s="187"/>
      <c r="H131" s="187"/>
      <c r="I131" s="187"/>
      <c r="J131" s="162"/>
      <c r="K131" s="187"/>
      <c r="L131" s="162"/>
      <c r="M131" s="187"/>
      <c r="N131" s="187"/>
      <c r="O131" s="187"/>
      <c r="P131" s="187"/>
      <c r="Q131" s="187"/>
      <c r="R131" s="187"/>
      <c r="S131" s="187"/>
      <c r="T131" s="187"/>
      <c r="U131" s="187"/>
      <c r="V131" s="187"/>
      <c r="W131" s="176"/>
      <c r="X131" s="185"/>
      <c r="Y131" s="176"/>
      <c r="Z131" s="176"/>
      <c r="AA131" s="176"/>
    </row>
    <row r="132" spans="2:59" ht="11.9" customHeight="1" x14ac:dyDescent="0.35">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spans="2:59" ht="15" customHeight="1" x14ac:dyDescent="0.35">
      <c r="B133" s="187"/>
      <c r="C133" s="187"/>
      <c r="D133" s="187"/>
      <c r="E133" s="187"/>
      <c r="F133" s="187"/>
      <c r="G133" s="187"/>
      <c r="H133" s="187"/>
      <c r="I133" s="187"/>
      <c r="J133" s="187"/>
      <c r="K133" s="187"/>
      <c r="L133" s="187"/>
      <c r="M133" s="187"/>
      <c r="N133" s="187"/>
      <c r="O133" s="187"/>
      <c r="P133" s="187"/>
      <c r="Q133" s="187"/>
      <c r="R133" s="187"/>
      <c r="S133" s="187"/>
      <c r="T133" s="187"/>
      <c r="U133" s="187"/>
      <c r="V133" s="187"/>
      <c r="W133" s="174"/>
      <c r="X133" s="183"/>
      <c r="Y133" s="174"/>
      <c r="Z133" s="188"/>
      <c r="AA133" s="174"/>
      <c r="AD133" s="1" t="str">
        <f>IF(X133&lt;&gt;"",X133,"")</f>
        <v/>
      </c>
      <c r="AE133" s="1" t="str">
        <f>IF(AA133&lt;&gt;"",AA133,"")</f>
        <v/>
      </c>
      <c r="AF133" s="1" t="str">
        <f>IF(AE133&lt;&gt;"","("&amp;AE133&amp;") "&amp;AD133,"")</f>
        <v/>
      </c>
      <c r="BF133" s="1" t="str">
        <f>IF(X133&lt;&gt;"",X133,"")</f>
        <v/>
      </c>
      <c r="BG133" s="1" t="str">
        <f>IF(AA133="Y","("&amp;AA133&amp;")"&amp;" "&amp;BF133,"")</f>
        <v/>
      </c>
    </row>
    <row r="134" spans="2:59" ht="15" customHeight="1" x14ac:dyDescent="0.35">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75"/>
      <c r="X134" s="184"/>
      <c r="Y134" s="175"/>
      <c r="Z134" s="175"/>
      <c r="AA134" s="175"/>
    </row>
    <row r="135" spans="2:59" ht="15" customHeight="1" x14ac:dyDescent="0.35">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75"/>
      <c r="X135" s="184"/>
      <c r="Y135" s="175"/>
      <c r="Z135" s="175"/>
      <c r="AA135" s="175"/>
    </row>
    <row r="136" spans="2:59" ht="15" customHeight="1" x14ac:dyDescent="0.35">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75"/>
      <c r="X136" s="184"/>
      <c r="Y136" s="175"/>
      <c r="Z136" s="175"/>
      <c r="AA136" s="175"/>
    </row>
    <row r="137" spans="2:59" ht="15" customHeight="1" x14ac:dyDescent="0.35">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75"/>
      <c r="X137" s="184"/>
      <c r="Y137" s="175"/>
      <c r="Z137" s="175"/>
      <c r="AA137" s="175"/>
    </row>
    <row r="138" spans="2:59" ht="15" customHeight="1" x14ac:dyDescent="0.35">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75"/>
      <c r="X138" s="184"/>
      <c r="Y138" s="175"/>
      <c r="Z138" s="175"/>
      <c r="AA138" s="175"/>
    </row>
    <row r="139" spans="2:59" ht="15" customHeight="1" x14ac:dyDescent="0.35">
      <c r="B139" s="187"/>
      <c r="C139" s="187"/>
      <c r="D139" s="187"/>
      <c r="E139" s="187"/>
      <c r="F139" s="187"/>
      <c r="G139" s="187"/>
      <c r="H139" s="187"/>
      <c r="I139" s="187"/>
      <c r="J139" s="187"/>
      <c r="K139" s="187"/>
      <c r="L139" s="187"/>
      <c r="M139" s="187"/>
      <c r="N139" s="187"/>
      <c r="O139" s="187"/>
      <c r="P139" s="187"/>
      <c r="Q139" s="187"/>
      <c r="R139" s="187"/>
      <c r="S139" s="187"/>
      <c r="T139" s="187"/>
      <c r="U139" s="187"/>
      <c r="V139" s="187"/>
      <c r="W139" s="175"/>
      <c r="X139" s="184"/>
      <c r="Y139" s="175"/>
      <c r="Z139" s="175"/>
      <c r="AA139" s="175"/>
    </row>
    <row r="140" spans="2:59" ht="15" customHeight="1" x14ac:dyDescent="0.35">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76"/>
      <c r="X140" s="185"/>
      <c r="Y140" s="176"/>
      <c r="Z140" s="176"/>
      <c r="AA140" s="176"/>
    </row>
    <row r="141" spans="2:59" ht="11.9" customHeight="1" x14ac:dyDescent="0.35"/>
    <row r="142" spans="2:59" s="6" customFormat="1" ht="28.4" customHeight="1" x14ac:dyDescent="0.35">
      <c r="B142" s="261" t="s">
        <v>52</v>
      </c>
      <c r="C142" s="261"/>
      <c r="D142" s="261"/>
      <c r="E142" s="261"/>
      <c r="F142" s="261"/>
      <c r="G142" s="261"/>
      <c r="H142" s="261"/>
      <c r="I142" s="261"/>
      <c r="J142" s="261"/>
      <c r="K142" s="261"/>
      <c r="L142" s="261"/>
      <c r="M142" s="261"/>
      <c r="N142" s="261"/>
      <c r="O142" s="261"/>
      <c r="P142" s="261"/>
      <c r="Q142" s="261"/>
      <c r="R142" s="261"/>
      <c r="S142" s="261"/>
      <c r="T142" s="261"/>
      <c r="U142" s="261"/>
      <c r="V142" s="261"/>
      <c r="W142" s="261"/>
      <c r="X142" s="261"/>
      <c r="Y142" s="261"/>
      <c r="Z142" s="261"/>
      <c r="AA142" s="261"/>
    </row>
    <row r="143" spans="2:59" ht="11.9" customHeight="1" x14ac:dyDescent="0.35"/>
    <row r="144" spans="2:59" s="21" customFormat="1" ht="25.5" customHeight="1" x14ac:dyDescent="0.35">
      <c r="B144" s="278" t="s">
        <v>143</v>
      </c>
      <c r="C144" s="279"/>
      <c r="D144" s="279"/>
      <c r="E144" s="279"/>
      <c r="F144" s="279"/>
      <c r="G144" s="279"/>
      <c r="H144" s="280"/>
      <c r="I144" s="275"/>
      <c r="J144" s="276"/>
      <c r="K144" s="276"/>
      <c r="L144" s="276"/>
      <c r="M144" s="276"/>
      <c r="N144" s="276"/>
      <c r="O144" s="276"/>
      <c r="P144" s="276"/>
      <c r="Q144" s="276"/>
      <c r="R144" s="276"/>
      <c r="S144" s="276"/>
      <c r="T144" s="277"/>
      <c r="U144" s="278" t="s">
        <v>144</v>
      </c>
      <c r="V144" s="280"/>
      <c r="W144" s="275"/>
      <c r="X144" s="276"/>
      <c r="Y144" s="276"/>
      <c r="Z144" s="276"/>
      <c r="AA144" s="277"/>
    </row>
    <row r="145" spans="2:27" s="21" customFormat="1" ht="9" customHeight="1" x14ac:dyDescent="0.35">
      <c r="B145" s="29"/>
      <c r="C145" s="29"/>
      <c r="D145" s="29"/>
      <c r="E145" s="29"/>
      <c r="F145" s="29"/>
      <c r="G145" s="29"/>
      <c r="H145" s="29"/>
      <c r="I145" s="29"/>
      <c r="J145" s="29"/>
      <c r="K145" s="29"/>
      <c r="L145" s="29"/>
      <c r="M145" s="29"/>
      <c r="N145" s="29"/>
      <c r="O145" s="29"/>
      <c r="P145" s="29"/>
      <c r="Q145" s="29"/>
      <c r="R145" s="29"/>
      <c r="S145" s="29"/>
      <c r="T145" s="29"/>
      <c r="U145" s="29"/>
      <c r="V145" s="29"/>
      <c r="W145" s="29"/>
      <c r="Y145" s="1"/>
      <c r="Z145" s="1"/>
    </row>
    <row r="146" spans="2:27" s="4" customFormat="1" ht="33" customHeight="1" thickBot="1" x14ac:dyDescent="0.5">
      <c r="B146" s="262" t="s">
        <v>53</v>
      </c>
      <c r="C146" s="262"/>
      <c r="D146" s="262"/>
      <c r="E146" s="262"/>
      <c r="F146" s="262"/>
      <c r="G146" s="262"/>
      <c r="H146" s="262"/>
      <c r="I146" s="262"/>
      <c r="J146" s="262"/>
      <c r="K146" s="262"/>
      <c r="L146" s="262"/>
      <c r="M146" s="262"/>
      <c r="N146" s="262"/>
      <c r="O146" s="262"/>
      <c r="P146" s="262"/>
      <c r="Q146" s="262"/>
      <c r="R146" s="262"/>
      <c r="S146" s="262"/>
      <c r="T146" s="262"/>
      <c r="U146" s="262"/>
      <c r="V146" s="262"/>
      <c r="W146" s="262"/>
      <c r="X146" s="262"/>
      <c r="Y146" s="262"/>
      <c r="Z146" s="262"/>
      <c r="AA146" s="262"/>
    </row>
    <row r="147" spans="2:27" s="4" customFormat="1" ht="32.15" customHeight="1" x14ac:dyDescent="0.45">
      <c r="B147" s="140" t="s">
        <v>54</v>
      </c>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88" t="s">
        <v>55</v>
      </c>
      <c r="Y147" s="254" t="s">
        <v>56</v>
      </c>
      <c r="Z147" s="152"/>
      <c r="AA147" s="255"/>
    </row>
    <row r="148" spans="2:27" s="4" customFormat="1" ht="60" customHeight="1" x14ac:dyDescent="0.45">
      <c r="B148" s="150"/>
      <c r="C148" s="256"/>
      <c r="D148" s="256"/>
      <c r="E148" s="256"/>
      <c r="F148" s="256"/>
      <c r="G148" s="256"/>
      <c r="H148" s="256"/>
      <c r="I148" s="256"/>
      <c r="J148" s="256"/>
      <c r="K148" s="256"/>
      <c r="L148" s="256"/>
      <c r="M148" s="256"/>
      <c r="N148" s="256"/>
      <c r="O148" s="256"/>
      <c r="P148" s="256"/>
      <c r="Q148" s="256"/>
      <c r="R148" s="256"/>
      <c r="S148" s="256"/>
      <c r="T148" s="256"/>
      <c r="U148" s="256"/>
      <c r="V148" s="256"/>
      <c r="W148" s="256"/>
      <c r="X148" s="90"/>
      <c r="Y148" s="257" t="str">
        <f>'Cost Impact Calculator'!B28</f>
        <v/>
      </c>
      <c r="Z148" s="258"/>
      <c r="AA148" s="259"/>
    </row>
    <row r="149" spans="2:27" s="4" customFormat="1" ht="32.15" customHeight="1" x14ac:dyDescent="0.45">
      <c r="B149" s="140" t="s">
        <v>57</v>
      </c>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89" t="s">
        <v>58</v>
      </c>
      <c r="Y149" s="142" t="s">
        <v>56</v>
      </c>
      <c r="Z149" s="143"/>
      <c r="AA149" s="144"/>
    </row>
    <row r="150" spans="2:27" s="4" customFormat="1" ht="60" customHeight="1" thickBot="1" x14ac:dyDescent="0.5">
      <c r="B150" s="145"/>
      <c r="C150" s="146"/>
      <c r="D150" s="146"/>
      <c r="E150" s="146"/>
      <c r="F150" s="146"/>
      <c r="G150" s="146"/>
      <c r="H150" s="146"/>
      <c r="I150" s="146"/>
      <c r="J150" s="146"/>
      <c r="K150" s="146"/>
      <c r="L150" s="146"/>
      <c r="M150" s="146"/>
      <c r="N150" s="146"/>
      <c r="O150" s="146"/>
      <c r="P150" s="146"/>
      <c r="Q150" s="146"/>
      <c r="R150" s="146"/>
      <c r="S150" s="146"/>
      <c r="T150" s="146"/>
      <c r="U150" s="146"/>
      <c r="V150" s="146"/>
      <c r="W150" s="146"/>
      <c r="X150" s="91"/>
      <c r="Y150" s="147" t="str">
        <f>'Cost Impact Calculator'!B29</f>
        <v/>
      </c>
      <c r="Z150" s="148"/>
      <c r="AA150" s="149"/>
    </row>
    <row r="151" spans="2:27" s="4" customFormat="1" ht="32.15" customHeight="1" x14ac:dyDescent="0.45">
      <c r="B151" s="140" t="s">
        <v>59</v>
      </c>
      <c r="C151" s="141"/>
      <c r="D151" s="141"/>
      <c r="E151" s="141"/>
      <c r="F151" s="141"/>
      <c r="G151" s="141"/>
      <c r="H151" s="141"/>
      <c r="I151" s="141"/>
      <c r="J151" s="141"/>
      <c r="K151" s="141"/>
      <c r="L151" s="141"/>
      <c r="M151" s="141"/>
      <c r="N151" s="141"/>
      <c r="O151" s="141"/>
      <c r="P151" s="141"/>
      <c r="Q151" s="141"/>
      <c r="R151" s="141"/>
      <c r="S151" s="141"/>
      <c r="T151" s="141"/>
      <c r="U151" s="141"/>
      <c r="V151" s="141"/>
      <c r="W151" s="253"/>
      <c r="X151" s="151" t="s">
        <v>60</v>
      </c>
      <c r="Y151" s="152"/>
      <c r="Z151" s="152"/>
      <c r="AA151" s="153"/>
    </row>
    <row r="152" spans="2:27" s="4" customFormat="1" ht="60" customHeight="1" thickBot="1" x14ac:dyDescent="0.5">
      <c r="B152" s="150"/>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54"/>
      <c r="Y152" s="155"/>
      <c r="Z152" s="155"/>
      <c r="AA152" s="156"/>
    </row>
    <row r="153" spans="2:27" ht="17.899999999999999" customHeight="1" x14ac:dyDescent="0.35">
      <c r="B153" s="31"/>
      <c r="C153" s="31"/>
      <c r="D153" s="31"/>
      <c r="E153" s="31"/>
      <c r="F153" s="31"/>
      <c r="G153" s="31"/>
      <c r="H153" s="31"/>
      <c r="I153" s="31"/>
      <c r="J153" s="31"/>
      <c r="K153" s="31"/>
      <c r="L153" s="31"/>
      <c r="M153" s="31"/>
      <c r="N153" s="31"/>
      <c r="O153" s="31"/>
      <c r="P153" s="31"/>
      <c r="Q153" s="31"/>
      <c r="R153" s="31"/>
      <c r="S153" s="31"/>
      <c r="T153" s="31"/>
      <c r="U153" s="31"/>
      <c r="V153" s="31"/>
      <c r="W153" s="31"/>
    </row>
    <row r="158" spans="2:27" ht="18.75" customHeight="1" x14ac:dyDescent="0.35"/>
    <row r="162" ht="37.5" customHeight="1" x14ac:dyDescent="0.35"/>
    <row r="163" ht="18.75" customHeight="1" x14ac:dyDescent="0.35"/>
    <row r="164" ht="18.75" customHeight="1" x14ac:dyDescent="0.35"/>
    <row r="165" ht="18.75" customHeight="1" x14ac:dyDescent="0.35"/>
    <row r="166" ht="18.75" customHeight="1" x14ac:dyDescent="0.35"/>
    <row r="167" ht="18.75" customHeight="1" x14ac:dyDescent="0.35"/>
    <row r="189" ht="18.75" customHeight="1" x14ac:dyDescent="0.35"/>
    <row r="190" ht="18.75" customHeight="1" x14ac:dyDescent="0.35"/>
  </sheetData>
  <protectedRanges>
    <protectedRange sqref="B1:AB142" name="Range1"/>
    <protectedRange sqref="B148:X148 B150:X150 B152:AA152 B144:AA144" name="Range2"/>
  </protectedRanges>
  <mergeCells count="212">
    <mergeCell ref="B144:H144"/>
    <mergeCell ref="I144:T144"/>
    <mergeCell ref="U144:V144"/>
    <mergeCell ref="W144:AA144"/>
    <mergeCell ref="B151:W151"/>
    <mergeCell ref="B147:W147"/>
    <mergeCell ref="Y147:AA147"/>
    <mergeCell ref="B148:W148"/>
    <mergeCell ref="Y148:AA148"/>
    <mergeCell ref="T78:X78"/>
    <mergeCell ref="Y78:Z78"/>
    <mergeCell ref="B82:AA82"/>
    <mergeCell ref="B84:AA84"/>
    <mergeCell ref="B142:AA142"/>
    <mergeCell ref="B146:AA146"/>
    <mergeCell ref="V124:V131"/>
    <mergeCell ref="W124:W131"/>
    <mergeCell ref="X124:X131"/>
    <mergeCell ref="Y124:Y131"/>
    <mergeCell ref="Z124:Z131"/>
    <mergeCell ref="AA124:AA131"/>
    <mergeCell ref="B133:H140"/>
    <mergeCell ref="I133:I140"/>
    <mergeCell ref="M78:S78"/>
    <mergeCell ref="Y106:Y113"/>
    <mergeCell ref="Z106:Z113"/>
    <mergeCell ref="V88:V95"/>
    <mergeCell ref="W88:W95"/>
    <mergeCell ref="X88:X95"/>
    <mergeCell ref="M88:R95"/>
    <mergeCell ref="S88:S95"/>
    <mergeCell ref="T88:T95"/>
    <mergeCell ref="U88:U95"/>
    <mergeCell ref="V106:V113"/>
    <mergeCell ref="W106:W113"/>
    <mergeCell ref="X106:X113"/>
    <mergeCell ref="V97:V104"/>
    <mergeCell ref="W97:W104"/>
    <mergeCell ref="X97:X104"/>
    <mergeCell ref="I78:K78"/>
    <mergeCell ref="M64:S64"/>
    <mergeCell ref="M72:S72"/>
    <mergeCell ref="M71:S71"/>
    <mergeCell ref="Y64:Z64"/>
    <mergeCell ref="T64:X64"/>
    <mergeCell ref="M66:S66"/>
    <mergeCell ref="T66:X66"/>
    <mergeCell ref="Y66:Z66"/>
    <mergeCell ref="M68:S68"/>
    <mergeCell ref="T68:X68"/>
    <mergeCell ref="Y68:Z68"/>
    <mergeCell ref="M70:S70"/>
    <mergeCell ref="T70:X70"/>
    <mergeCell ref="Y70:Z70"/>
    <mergeCell ref="M67:S67"/>
    <mergeCell ref="T72:X72"/>
    <mergeCell ref="Y72:Z72"/>
    <mergeCell ref="M74:S74"/>
    <mergeCell ref="T74:X74"/>
    <mergeCell ref="Y74:Z74"/>
    <mergeCell ref="M76:S76"/>
    <mergeCell ref="T76:X76"/>
    <mergeCell ref="Y76:Z76"/>
    <mergeCell ref="B31:P36"/>
    <mergeCell ref="R31:AA36"/>
    <mergeCell ref="G38:P38"/>
    <mergeCell ref="R38:T38"/>
    <mergeCell ref="R25:T25"/>
    <mergeCell ref="U25:AA25"/>
    <mergeCell ref="U38:AA38"/>
    <mergeCell ref="B50:F50"/>
    <mergeCell ref="G44:P44"/>
    <mergeCell ref="G50:P50"/>
    <mergeCell ref="B39:P42"/>
    <mergeCell ref="B45:P48"/>
    <mergeCell ref="G25:P25"/>
    <mergeCell ref="B26:P29"/>
    <mergeCell ref="R26:AA29"/>
    <mergeCell ref="B30:AA30"/>
    <mergeCell ref="B25:F25"/>
    <mergeCell ref="R39:AA42"/>
    <mergeCell ref="R44:T44"/>
    <mergeCell ref="R50:T50"/>
    <mergeCell ref="U44:AA44"/>
    <mergeCell ref="U50:AA50"/>
    <mergeCell ref="R45:AA48"/>
    <mergeCell ref="B38:F38"/>
    <mergeCell ref="B2:AA2"/>
    <mergeCell ref="B4:AA4"/>
    <mergeCell ref="B23:AA23"/>
    <mergeCell ref="B17:AA17"/>
    <mergeCell ref="O10:AA12"/>
    <mergeCell ref="C15:W15"/>
    <mergeCell ref="O6:O7"/>
    <mergeCell ref="P6:U7"/>
    <mergeCell ref="O8:O9"/>
    <mergeCell ref="P8:AA9"/>
    <mergeCell ref="Q14:T14"/>
    <mergeCell ref="O14:P14"/>
    <mergeCell ref="B19:O21"/>
    <mergeCell ref="P19:AA21"/>
    <mergeCell ref="B18:O18"/>
    <mergeCell ref="P18:AA18"/>
    <mergeCell ref="V14:W14"/>
    <mergeCell ref="X14:AA14"/>
    <mergeCell ref="V6:V7"/>
    <mergeCell ref="W6:AA7"/>
    <mergeCell ref="B44:F44"/>
    <mergeCell ref="AA133:AA140"/>
    <mergeCell ref="B124:H131"/>
    <mergeCell ref="I124:I131"/>
    <mergeCell ref="J124:J131"/>
    <mergeCell ref="K124:K131"/>
    <mergeCell ref="L124:L131"/>
    <mergeCell ref="M124:R131"/>
    <mergeCell ref="S124:S131"/>
    <mergeCell ref="T124:T131"/>
    <mergeCell ref="U124:U131"/>
    <mergeCell ref="L133:L140"/>
    <mergeCell ref="M133:R140"/>
    <mergeCell ref="S133:S140"/>
    <mergeCell ref="T133:T140"/>
    <mergeCell ref="U133:U140"/>
    <mergeCell ref="V133:V140"/>
    <mergeCell ref="W133:W140"/>
    <mergeCell ref="X133:X140"/>
    <mergeCell ref="Y133:Y140"/>
    <mergeCell ref="J133:J140"/>
    <mergeCell ref="K133:K140"/>
    <mergeCell ref="Z133:Z140"/>
    <mergeCell ref="AA106:AA113"/>
    <mergeCell ref="V115:V122"/>
    <mergeCell ref="W115:W122"/>
    <mergeCell ref="X115:X122"/>
    <mergeCell ref="Y115:Y122"/>
    <mergeCell ref="Z115:Z122"/>
    <mergeCell ref="AA115:AA122"/>
    <mergeCell ref="B106:H113"/>
    <mergeCell ref="I106:I113"/>
    <mergeCell ref="J106:J113"/>
    <mergeCell ref="K106:K113"/>
    <mergeCell ref="L106:L113"/>
    <mergeCell ref="M106:R113"/>
    <mergeCell ref="S106:S113"/>
    <mergeCell ref="T106:T113"/>
    <mergeCell ref="B115:H122"/>
    <mergeCell ref="I115:I122"/>
    <mergeCell ref="J115:J122"/>
    <mergeCell ref="K115:K122"/>
    <mergeCell ref="L115:L122"/>
    <mergeCell ref="M115:R122"/>
    <mergeCell ref="S115:S122"/>
    <mergeCell ref="T115:T122"/>
    <mergeCell ref="U115:U122"/>
    <mergeCell ref="U106:U113"/>
    <mergeCell ref="Y97:Y104"/>
    <mergeCell ref="Z97:Z104"/>
    <mergeCell ref="AA97:AA104"/>
    <mergeCell ref="B88:H95"/>
    <mergeCell ref="I88:I95"/>
    <mergeCell ref="J88:J95"/>
    <mergeCell ref="K88:K95"/>
    <mergeCell ref="L88:L95"/>
    <mergeCell ref="B80:W80"/>
    <mergeCell ref="B85:H87"/>
    <mergeCell ref="I85:I87"/>
    <mergeCell ref="J85:J87"/>
    <mergeCell ref="K85:K87"/>
    <mergeCell ref="L85:L87"/>
    <mergeCell ref="M85:R87"/>
    <mergeCell ref="S85:S87"/>
    <mergeCell ref="T85:T87"/>
    <mergeCell ref="U85:U87"/>
    <mergeCell ref="M97:R104"/>
    <mergeCell ref="S97:S104"/>
    <mergeCell ref="T97:T104"/>
    <mergeCell ref="U97:U104"/>
    <mergeCell ref="Y88:Y95"/>
    <mergeCell ref="Z88:Z95"/>
    <mergeCell ref="B51:P54"/>
    <mergeCell ref="R51:AA54"/>
    <mergeCell ref="B56:AA56"/>
    <mergeCell ref="B57:AA60"/>
    <mergeCell ref="M62:AA62"/>
    <mergeCell ref="B62:K62"/>
    <mergeCell ref="B64:K64"/>
    <mergeCell ref="I66:K66"/>
    <mergeCell ref="I68:K68"/>
    <mergeCell ref="I70:K70"/>
    <mergeCell ref="I72:K72"/>
    <mergeCell ref="I74:K74"/>
    <mergeCell ref="I76:K76"/>
    <mergeCell ref="B149:W149"/>
    <mergeCell ref="Y149:AA149"/>
    <mergeCell ref="B150:W150"/>
    <mergeCell ref="Y150:AA150"/>
    <mergeCell ref="B152:W152"/>
    <mergeCell ref="X151:AA151"/>
    <mergeCell ref="X152:AA152"/>
    <mergeCell ref="V85:V87"/>
    <mergeCell ref="W85:W87"/>
    <mergeCell ref="X85:X87"/>
    <mergeCell ref="Y85:Y87"/>
    <mergeCell ref="Z85:Z87"/>
    <mergeCell ref="AA85:AA87"/>
    <mergeCell ref="AA88:AA95"/>
    <mergeCell ref="B96:H96"/>
    <mergeCell ref="B97:H104"/>
    <mergeCell ref="I97:I104"/>
    <mergeCell ref="J97:J104"/>
    <mergeCell ref="K97:K104"/>
    <mergeCell ref="L97:L104"/>
  </mergeCells>
  <dataValidations count="6">
    <dataValidation type="list" allowBlank="1" showInputMessage="1" showErrorMessage="1" sqref="Q14:T14" xr:uid="{00000000-0002-0000-0000-000000000000}">
      <formula1>"PM100,GD121,M8,FX1,F5,F350,GDX6,GDFFP,H1000,401,411,413,489,C800,C600,W1000,741,BV,753,751,SBNE,Crimper,TOB,PLA,HAT,MPF,Combiner,Capricorn,Depalletizer,460,Others"</formula1>
    </dataValidation>
    <dataValidation type="list" allowBlank="1" showInputMessage="1" showErrorMessage="1" sqref="C6" xr:uid="{00000000-0002-0000-0000-000001000000}">
      <formula1>"Q"</formula1>
    </dataValidation>
    <dataValidation type="list" allowBlank="1" showInputMessage="1" showErrorMessage="1" sqref="C8" xr:uid="{00000000-0002-0000-0000-000002000000}">
      <formula1>"D"</formula1>
    </dataValidation>
    <dataValidation type="list" allowBlank="1" showInputMessage="1" showErrorMessage="1" sqref="C10" xr:uid="{00000000-0002-0000-0000-000003000000}">
      <formula1>"C"</formula1>
    </dataValidation>
    <dataValidation type="list" allowBlank="1" showInputMessage="1" showErrorMessage="1" sqref="P6:U7" xr:uid="{00000000-0002-0000-0000-000004000000}">
      <formula1>"LU10-ID02,LU11-ID02,LU12-ID02,LU14-ID02,LU15-ID02,LU17-ID02,LU25-ID02,LU27-ID02,LU11-ID01,LU12-ID01,LU13-ID01,LU14-ID01,LU16-ID01,LU17-ID01,LU18-ID01,LU21-ID01,LU22-ID01,LU23-ID01,LU24-ID01,LU26-ID01,LU29-ID01,LU27-ID01,LU11-ID30,LU22-ID30,LU23-ID30"</formula1>
    </dataValidation>
    <dataValidation type="list" allowBlank="1" showInputMessage="1" showErrorMessage="1" sqref="C12" xr:uid="{00000000-0002-0000-0000-000005000000}">
      <formula1>"O"</formula1>
    </dataValidation>
  </dataValidations>
  <printOptions horizontalCentered="1"/>
  <pageMargins left="0.25" right="0.25" top="0.25" bottom="0.25" header="0.05" footer="0.05"/>
  <pageSetup paperSize="9" scale="33" fitToHeight="0" orientation="portrait" r:id="rId1"/>
  <rowBreaks count="1" manualBreakCount="1">
    <brk id="80" max="27" man="1"/>
  </rowBreaks>
  <drawing r:id="rId2"/>
  <legacy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9"/>
  <sheetViews>
    <sheetView view="pageBreakPreview" topLeftCell="A2" zoomScale="80" zoomScaleNormal="74" zoomScaleSheetLayoutView="80" workbookViewId="0">
      <selection activeCell="B5" sqref="B5"/>
    </sheetView>
  </sheetViews>
  <sheetFormatPr defaultRowHeight="14.5" x14ac:dyDescent="0.35"/>
  <cols>
    <col min="1" max="1" width="4.54296875" customWidth="1"/>
    <col min="2" max="2" width="12.453125" customWidth="1"/>
    <col min="3" max="3" width="8.54296875" bestFit="1" customWidth="1"/>
    <col min="4" max="4" width="8" customWidth="1"/>
    <col min="5" max="5" width="55.54296875" style="75" customWidth="1"/>
    <col min="6" max="6" width="10.453125" customWidth="1"/>
    <col min="7" max="7" width="11.54296875" customWidth="1"/>
    <col min="8" max="8" width="14.453125" customWidth="1"/>
    <col min="9" max="9" width="28.7265625" customWidth="1"/>
    <col min="10" max="10" width="14.453125" customWidth="1"/>
    <col min="12" max="17" width="0" hidden="1" customWidth="1"/>
  </cols>
  <sheetData>
    <row r="1" spans="1:17" ht="21" x14ac:dyDescent="0.5">
      <c r="A1" s="263" t="s">
        <v>61</v>
      </c>
      <c r="B1" s="263"/>
      <c r="C1" s="263"/>
      <c r="D1" s="263"/>
      <c r="E1" s="263"/>
      <c r="F1" s="263"/>
      <c r="G1" s="263"/>
      <c r="H1" s="263"/>
      <c r="I1" s="263"/>
      <c r="J1" s="263"/>
    </row>
    <row r="2" spans="1:17" s="75" customFormat="1" ht="43.5" customHeight="1" x14ac:dyDescent="0.35">
      <c r="A2" s="120" t="s">
        <v>62</v>
      </c>
      <c r="B2" s="120" t="s">
        <v>63</v>
      </c>
      <c r="C2" s="120" t="s">
        <v>64</v>
      </c>
      <c r="D2" s="120" t="s">
        <v>65</v>
      </c>
      <c r="E2" s="120" t="s">
        <v>66</v>
      </c>
      <c r="F2" s="120" t="s">
        <v>67</v>
      </c>
      <c r="G2" s="120" t="s">
        <v>68</v>
      </c>
      <c r="H2" s="122" t="s">
        <v>69</v>
      </c>
      <c r="I2" s="121" t="s">
        <v>70</v>
      </c>
      <c r="J2" s="122" t="s">
        <v>71</v>
      </c>
      <c r="L2" s="83" t="str" cm="1">
        <f t="array" ref="L2">IFERROR(INDEX(D$5:D$49,SMALL(IF(E$5:E$49&lt;&gt;"",ROW(D$5:D$49)-ROW(D$5)+1),ROWS(D$5:D5))),"")</f>
        <v/>
      </c>
      <c r="M2" s="83" t="str" cm="1">
        <f t="array" ref="M2">IFERROR(INDEX(E$5:E$49,SMALL(IF(D$5:D$49&lt;&gt;"",ROW(E$5:E$49)-ROW(E$5)+1),ROWS(E$5:E5))),"")</f>
        <v/>
      </c>
      <c r="N2" s="84" t="str">
        <f>IF(L2&lt;&gt;"","("&amp;L2&amp;")","")</f>
        <v/>
      </c>
      <c r="O2" s="85" t="str">
        <f>N2&amp;" "&amp;M2</f>
        <v xml:space="preserve"> </v>
      </c>
      <c r="Q2" s="75" t="str">
        <f>_xlfn.TEXTJOIN(CHAR(10),TRUE,O2:O7)</f>
        <v xml:space="preserve"> 
 </v>
      </c>
    </row>
    <row r="3" spans="1:17" s="76" customFormat="1" ht="36.65" customHeight="1" x14ac:dyDescent="0.35">
      <c r="A3" s="78"/>
      <c r="B3" s="125"/>
      <c r="C3" s="126"/>
      <c r="D3" s="112"/>
      <c r="E3" s="133"/>
      <c r="F3" s="111"/>
      <c r="G3" s="111"/>
      <c r="H3" s="126"/>
      <c r="I3" s="133"/>
      <c r="J3" s="126"/>
      <c r="K3"/>
      <c r="L3" s="83" t="str" cm="1">
        <f t="array" ref="L3">IFERROR(INDEX(D$5:D$49,SMALL(IF(E$5:E$49&lt;&gt;"",ROW(D$5:D$49)-ROW(D$5)+1),ROWS(D$5:D6))),"")</f>
        <v/>
      </c>
      <c r="M3" s="83" t="str" cm="1">
        <f t="array" ref="M3">IFERROR(INDEX(E$5:E$49,SMALL(IF(D$5:D$49&lt;&gt;"",ROW(E$5:E$49)-ROW(E$5)+1),ROWS(E$5:E6))),"")</f>
        <v/>
      </c>
      <c r="N3" s="84" t="str">
        <f t="shared" ref="N3:N49" si="0">IF(L3&lt;&gt;"","("&amp;L3&amp;")","")</f>
        <v/>
      </c>
      <c r="O3" s="85" t="str">
        <f t="shared" ref="O3:O49" si="1">N3&amp;" "&amp;M3</f>
        <v xml:space="preserve"> </v>
      </c>
    </row>
    <row r="4" spans="1:17" ht="36.65" customHeight="1" x14ac:dyDescent="0.35">
      <c r="A4" s="78"/>
      <c r="B4" s="125"/>
      <c r="C4" s="126"/>
      <c r="D4" s="112"/>
      <c r="E4" s="133"/>
      <c r="F4" s="111"/>
      <c r="G4" s="111"/>
      <c r="H4" s="126"/>
      <c r="I4" s="133"/>
      <c r="J4" s="126"/>
      <c r="L4" s="83" t="str" cm="1">
        <f t="array" ref="L4">IFERROR(INDEX(D$5:D$49,SMALL(IF(E$5:E$49&lt;&gt;"",ROW(D$5:D$49)-ROW(D$5)+1),ROWS(D$5:D6))),"")</f>
        <v/>
      </c>
      <c r="M4" s="83" t="str" cm="1">
        <f t="array" ref="M4">IFERROR(INDEX(E$5:E$49,SMALL(IF(D$5:D$49&lt;&gt;"",ROW(E$5:E$49)-ROW(E$5)+1),ROWS(E$5:E6))),"")</f>
        <v/>
      </c>
      <c r="N4" s="84" t="str">
        <f t="shared" si="0"/>
        <v/>
      </c>
      <c r="O4" s="85" t="str">
        <f t="shared" si="1"/>
        <v xml:space="preserve"> </v>
      </c>
    </row>
    <row r="5" spans="1:17" ht="36.65" customHeight="1" x14ac:dyDescent="0.35">
      <c r="A5" s="78"/>
      <c r="B5" s="125"/>
      <c r="C5" s="126"/>
      <c r="D5" s="112"/>
      <c r="E5" s="133"/>
      <c r="F5" s="111"/>
      <c r="G5" s="111"/>
      <c r="H5" s="126"/>
      <c r="I5" s="133"/>
      <c r="J5" s="126"/>
      <c r="L5" s="83" t="str" cm="1">
        <f t="array" ref="L5">IFERROR(INDEX(D$5:D$49,SMALL(IF(E$5:E$49&lt;&gt;"",ROW(D$5:D$49)-ROW(D$5)+1),ROWS(D$5:D6))),"")</f>
        <v/>
      </c>
      <c r="M5" s="83" t="str" cm="1">
        <f t="array" ref="M5">IFERROR(INDEX(E$5:E$49,SMALL(IF(D$5:D$49&lt;&gt;"",ROW(E$5:E$49)-ROW(E$5)+1),ROWS(E$5:E6))),"")</f>
        <v/>
      </c>
      <c r="N5" s="84" t="str">
        <f t="shared" si="0"/>
        <v/>
      </c>
      <c r="O5" s="85" t="str">
        <f t="shared" si="1"/>
        <v xml:space="preserve"> </v>
      </c>
    </row>
    <row r="6" spans="1:17" ht="36.65" customHeight="1" x14ac:dyDescent="0.35">
      <c r="A6" s="78"/>
      <c r="B6" s="125"/>
      <c r="C6" s="126"/>
      <c r="D6" s="112"/>
      <c r="E6" s="133"/>
      <c r="F6" s="111"/>
      <c r="G6" s="111"/>
      <c r="H6" s="126"/>
      <c r="I6" s="133"/>
      <c r="J6" s="126"/>
      <c r="L6" s="83" t="str" cm="1">
        <f t="array" ref="L6">IFERROR(INDEX(D$5:D$49,SMALL(IF(E$5:E$49&lt;&gt;"",ROW(D$5:D$49)-ROW(D$5)+1),ROWS(D$5:D7))),"")</f>
        <v/>
      </c>
      <c r="M6" s="83" t="str" cm="1">
        <f t="array" ref="M6">IFERROR(INDEX(E$5:E$49,SMALL(IF(D$5:D$49&lt;&gt;"",ROW(E$5:E$49)-ROW(E$5)+1),ROWS(E$5:E7))),"")</f>
        <v/>
      </c>
      <c r="N6" s="84" t="str">
        <f t="shared" si="0"/>
        <v/>
      </c>
      <c r="O6" s="85" t="str">
        <f t="shared" si="1"/>
        <v xml:space="preserve"> </v>
      </c>
    </row>
    <row r="7" spans="1:17" ht="36.65" customHeight="1" x14ac:dyDescent="0.35">
      <c r="A7" s="78"/>
      <c r="B7" s="125"/>
      <c r="C7" s="126"/>
      <c r="D7" s="112"/>
      <c r="E7" s="133"/>
      <c r="F7" s="111"/>
      <c r="G7" s="111"/>
      <c r="H7" s="126"/>
      <c r="I7" s="133"/>
      <c r="J7" s="126"/>
      <c r="L7" s="83" t="str" cm="1">
        <f t="array" ref="L7">IFERROR(INDEX(D$5:D$49,SMALL(IF(E$5:E$49&lt;&gt;"",ROW(D$5:D$49)-ROW(D$5)+1),ROWS(D$5:D8))),"")</f>
        <v/>
      </c>
      <c r="M7" s="83"/>
      <c r="N7" s="84"/>
      <c r="O7" s="85"/>
    </row>
    <row r="8" spans="1:17" ht="36.65" customHeight="1" x14ac:dyDescent="0.35">
      <c r="A8" s="78"/>
      <c r="B8" s="125"/>
      <c r="C8" s="126"/>
      <c r="D8" s="112"/>
      <c r="E8" s="133"/>
      <c r="F8" s="111"/>
      <c r="G8" s="127"/>
      <c r="H8" s="126"/>
      <c r="I8" s="133"/>
      <c r="J8" s="126"/>
      <c r="L8" s="83" t="str" cm="1">
        <f t="array" ref="L8">IFERROR(INDEX(D$5:D$49,SMALL(IF(E$5:E$49&lt;&gt;"",ROW(D$5:D$49)-ROW(D$5)+1),ROWS(D$5:D9))),"")</f>
        <v/>
      </c>
      <c r="M8" s="83"/>
      <c r="N8" s="84"/>
      <c r="O8" s="85"/>
    </row>
    <row r="9" spans="1:17" ht="36.65" customHeight="1" x14ac:dyDescent="0.35">
      <c r="A9" s="78"/>
      <c r="B9" s="125"/>
      <c r="C9" s="126"/>
      <c r="D9" s="112"/>
      <c r="E9" s="133"/>
      <c r="F9" s="111"/>
      <c r="G9" s="111"/>
      <c r="H9" s="126"/>
      <c r="I9" s="133"/>
      <c r="J9" s="126"/>
      <c r="L9" s="83" t="str" cm="1">
        <f t="array" ref="L9">IFERROR(INDEX(D$5:D$49,SMALL(IF(E$5:E$49&lt;&gt;"",ROW(D$5:D$49)-ROW(D$5)+1),ROWS(D$5:D10))),"")</f>
        <v/>
      </c>
      <c r="M9" s="83"/>
      <c r="N9" s="84"/>
      <c r="O9" s="85"/>
    </row>
    <row r="10" spans="1:17" ht="36.65" customHeight="1" x14ac:dyDescent="0.35">
      <c r="A10" s="78"/>
      <c r="B10" s="125"/>
      <c r="C10" s="78"/>
      <c r="D10" s="135"/>
      <c r="E10" s="133"/>
      <c r="F10" s="111"/>
      <c r="G10" s="111"/>
      <c r="H10" s="126"/>
      <c r="I10" s="111"/>
      <c r="J10" s="126"/>
      <c r="L10" s="83" t="str" cm="1">
        <f t="array" ref="L10">IFERROR(INDEX(D$5:D$49,SMALL(IF(E$5:E$49&lt;&gt;"",ROW(D$5:D$49)-ROW(D$5)+1),ROWS(D$5:D11))),"")</f>
        <v/>
      </c>
      <c r="M10" s="83"/>
      <c r="N10" s="84"/>
      <c r="O10" s="85"/>
    </row>
    <row r="11" spans="1:17" ht="36.65" customHeight="1" x14ac:dyDescent="0.35">
      <c r="A11" s="78"/>
      <c r="B11" s="125"/>
      <c r="C11" s="78"/>
      <c r="D11" s="135"/>
      <c r="E11" s="133"/>
      <c r="F11" s="111"/>
      <c r="G11" s="111"/>
      <c r="H11" s="111"/>
      <c r="I11" s="111"/>
      <c r="J11" s="126"/>
      <c r="L11" s="83" t="str" cm="1">
        <f t="array" ref="L11">IFERROR(INDEX(D$5:D$49,SMALL(IF(E$5:E$49&lt;&gt;"",ROW(D$5:D$49)-ROW(D$5)+1),ROWS(D$5:D12))),"")</f>
        <v/>
      </c>
      <c r="N11" s="84"/>
      <c r="O11" s="85"/>
    </row>
    <row r="12" spans="1:17" ht="36.65" customHeight="1" x14ac:dyDescent="0.35">
      <c r="A12" s="77"/>
      <c r="B12" s="79"/>
      <c r="C12" s="78"/>
      <c r="D12" s="77"/>
      <c r="F12" s="111"/>
      <c r="G12" s="111"/>
      <c r="H12" s="111"/>
      <c r="I12" s="111"/>
      <c r="J12" s="112"/>
      <c r="L12" s="83" t="str" cm="1">
        <f t="array" ref="L12">IFERROR(INDEX(D$5:D$49,SMALL(IF(E$5:E$49&lt;&gt;"",ROW(D$5:D$49)-ROW(D$5)+1),ROWS(D$5:D13))),"")</f>
        <v/>
      </c>
      <c r="M12" s="83"/>
      <c r="N12" s="84"/>
      <c r="O12" s="85"/>
    </row>
    <row r="13" spans="1:17" ht="36.65" customHeight="1" x14ac:dyDescent="0.35">
      <c r="A13" s="77"/>
      <c r="B13" s="113"/>
      <c r="C13" s="112"/>
      <c r="D13" s="77"/>
      <c r="E13" s="128"/>
      <c r="F13" s="111"/>
      <c r="G13" s="111"/>
      <c r="H13" s="111"/>
      <c r="I13" s="111"/>
      <c r="J13" s="112"/>
      <c r="L13" s="83" t="str" cm="1">
        <f t="array" ref="L13">IFERROR(INDEX(D$5:D$49,SMALL(IF(E$5:E$49&lt;&gt;"",ROW(D$5:D$49)-ROW(D$5)+1),ROWS(D$5:D14))),"")</f>
        <v/>
      </c>
      <c r="N13" s="84"/>
      <c r="O13" s="85"/>
    </row>
    <row r="14" spans="1:17" ht="36.65" customHeight="1" x14ac:dyDescent="0.35">
      <c r="A14" s="77"/>
      <c r="B14" s="113"/>
      <c r="C14" s="112"/>
      <c r="D14" s="77"/>
      <c r="E14" s="129"/>
      <c r="F14" s="111"/>
      <c r="G14" s="114"/>
      <c r="H14" s="111"/>
      <c r="I14" s="111"/>
      <c r="J14" s="112"/>
      <c r="L14" s="83" t="str" cm="1">
        <f t="array" ref="L14">IFERROR(INDEX(D$5:D$49,SMALL(IF(E$5:E$49&lt;&gt;"",ROW(D$5:D$49)-ROW(D$5)+1),ROWS(D$5:D15))),"")</f>
        <v/>
      </c>
      <c r="M14" s="83" t="str" cm="1">
        <f t="array" ref="M14">IFERROR(INDEX(E$5:E$49,SMALL(IF(D$5:D$49&lt;&gt;"",ROW(E$5:E$49)-ROW(E$5)+1),ROWS(E$5:E15))),"")</f>
        <v/>
      </c>
      <c r="N14" s="84" t="str">
        <f t="shared" si="0"/>
        <v/>
      </c>
      <c r="O14" s="85" t="str">
        <f t="shared" si="1"/>
        <v xml:space="preserve"> </v>
      </c>
    </row>
    <row r="15" spans="1:17" ht="36.65" customHeight="1" x14ac:dyDescent="0.35">
      <c r="A15" s="77"/>
      <c r="B15" s="113"/>
      <c r="C15" s="112"/>
      <c r="D15" s="77"/>
      <c r="E15" s="129"/>
      <c r="F15" s="115"/>
      <c r="G15" s="114"/>
      <c r="H15" s="111"/>
      <c r="I15" s="111"/>
      <c r="J15" s="112"/>
      <c r="L15" s="83" t="str" cm="1">
        <f t="array" ref="L15">IFERROR(INDEX(D$5:D$49,SMALL(IF(E$5:E$49&lt;&gt;"",ROW(D$5:D$49)-ROW(D$5)+1),ROWS(D$5:D16))),"")</f>
        <v/>
      </c>
      <c r="M15" s="83" t="str" cm="1">
        <f t="array" ref="M15">IFERROR(INDEX(E$5:E$49,SMALL(IF(D$5:D$49&lt;&gt;"",ROW(E$5:E$49)-ROW(E$5)+1),ROWS(E$5:E16))),"")</f>
        <v/>
      </c>
      <c r="N15" s="84" t="str">
        <f t="shared" si="0"/>
        <v/>
      </c>
      <c r="O15" s="85" t="str">
        <f t="shared" si="1"/>
        <v xml:space="preserve"> </v>
      </c>
    </row>
    <row r="16" spans="1:17" ht="36.65" customHeight="1" x14ac:dyDescent="0.35">
      <c r="A16" s="77"/>
      <c r="B16" s="113"/>
      <c r="C16" s="112"/>
      <c r="D16" s="77"/>
      <c r="E16" s="114"/>
      <c r="F16" s="115"/>
      <c r="G16" s="114"/>
      <c r="H16" s="111"/>
      <c r="I16" s="111"/>
      <c r="J16" s="115"/>
      <c r="L16" s="83" t="str" cm="1">
        <f t="array" ref="L16">IFERROR(INDEX(D$5:D$49,SMALL(IF(E$5:E$49&lt;&gt;"",ROW(D$5:D$49)-ROW(D$5)+1),ROWS(D$5:D17))),"")</f>
        <v/>
      </c>
      <c r="M16" s="83" t="str" cm="1">
        <f t="array" ref="M16">IFERROR(INDEX(E$5:E$49,SMALL(IF(D$5:D$49&lt;&gt;"",ROW(E$5:E$49)-ROW(E$5)+1),ROWS(E$5:E17))),"")</f>
        <v/>
      </c>
      <c r="N16" s="84" t="str">
        <f t="shared" si="0"/>
        <v/>
      </c>
      <c r="O16" s="85" t="str">
        <f t="shared" si="1"/>
        <v xml:space="preserve"> </v>
      </c>
    </row>
    <row r="17" spans="1:15" ht="36.65" customHeight="1" x14ac:dyDescent="0.35">
      <c r="A17" s="77"/>
      <c r="B17" s="113"/>
      <c r="C17" s="112"/>
      <c r="D17" s="77"/>
      <c r="E17" s="114"/>
      <c r="F17" s="115"/>
      <c r="G17" s="114"/>
      <c r="H17" s="111"/>
      <c r="I17" s="111"/>
      <c r="J17" s="77"/>
      <c r="L17" s="83" t="str" cm="1">
        <f t="array" ref="L17">IFERROR(INDEX(D$5:D$49,SMALL(IF(E$5:E$49&lt;&gt;"",ROW(D$5:D$49)-ROW(D$5)+1),ROWS(D$5:D18))),"")</f>
        <v/>
      </c>
      <c r="M17" s="83" t="str" cm="1">
        <f t="array" ref="M17">IFERROR(INDEX(E$5:E$49,SMALL(IF(D$5:D$49&lt;&gt;"",ROW(E$5:E$49)-ROW(E$5)+1),ROWS(E$5:E18))),"")</f>
        <v/>
      </c>
      <c r="N17" s="84" t="str">
        <f t="shared" si="0"/>
        <v/>
      </c>
      <c r="O17" s="85" t="str">
        <f t="shared" si="1"/>
        <v xml:space="preserve"> </v>
      </c>
    </row>
    <row r="18" spans="1:15" ht="36.65" customHeight="1" x14ac:dyDescent="0.35">
      <c r="A18" s="77"/>
      <c r="B18" s="113"/>
      <c r="C18" s="112"/>
      <c r="D18" s="77"/>
      <c r="E18" s="114"/>
      <c r="F18" s="115"/>
      <c r="G18" s="114"/>
      <c r="H18" s="111"/>
      <c r="I18" s="111"/>
      <c r="J18" s="115"/>
      <c r="L18" s="83" t="str" cm="1">
        <f t="array" ref="L18">IFERROR(INDEX(D$5:D$49,SMALL(IF(E$5:E$49&lt;&gt;"",ROW(D$5:D$49)-ROW(D$5)+1),ROWS(D$5:D19))),"")</f>
        <v/>
      </c>
      <c r="M18" s="83" t="str" cm="1">
        <f t="array" ref="M18">IFERROR(INDEX(E$5:E$49,SMALL(IF(D$5:D$49&lt;&gt;"",ROW(E$5:E$49)-ROW(E$5)+1),ROWS(E$5:E19))),"")</f>
        <v/>
      </c>
      <c r="N18" s="84" t="str">
        <f t="shared" si="0"/>
        <v/>
      </c>
      <c r="O18" s="85" t="str">
        <f t="shared" si="1"/>
        <v xml:space="preserve"> </v>
      </c>
    </row>
    <row r="19" spans="1:15" ht="36.65" customHeight="1" x14ac:dyDescent="0.35">
      <c r="A19" s="77"/>
      <c r="B19" s="113"/>
      <c r="C19" s="112"/>
      <c r="D19" s="77"/>
      <c r="E19" s="114"/>
      <c r="F19" s="115"/>
      <c r="G19" s="114"/>
      <c r="H19" s="111"/>
      <c r="I19" s="111"/>
      <c r="J19" s="77"/>
      <c r="L19" s="83" t="str" cm="1">
        <f t="array" ref="L19">IFERROR(INDEX(D$5:D$49,SMALL(IF(E$5:E$49&lt;&gt;"",ROW(D$5:D$49)-ROW(D$5)+1),ROWS(D$5:D20))),"")</f>
        <v/>
      </c>
      <c r="M19" s="83" t="str" cm="1">
        <f t="array" ref="M19">IFERROR(INDEX(E$5:E$49,SMALL(IF(D$5:D$49&lt;&gt;"",ROW(E$5:E$49)-ROW(E$5)+1),ROWS(E$5:E20))),"")</f>
        <v/>
      </c>
      <c r="N19" s="84" t="str">
        <f t="shared" si="0"/>
        <v/>
      </c>
      <c r="O19" s="85" t="str">
        <f t="shared" si="1"/>
        <v xml:space="preserve"> </v>
      </c>
    </row>
    <row r="20" spans="1:15" ht="36.65" customHeight="1" x14ac:dyDescent="0.35">
      <c r="A20" s="77"/>
      <c r="B20" s="113"/>
      <c r="C20" s="112"/>
      <c r="D20" s="77"/>
      <c r="E20" s="114"/>
      <c r="F20" s="115"/>
      <c r="G20" s="114"/>
      <c r="H20" s="111"/>
      <c r="I20" s="111"/>
      <c r="J20" s="77"/>
      <c r="L20" s="83" t="str" cm="1">
        <f t="array" ref="L20">IFERROR(INDEX(D$5:D$49,SMALL(IF(E$5:E$49&lt;&gt;"",ROW(D$5:D$49)-ROW(D$5)+1),ROWS(D$5:D21))),"")</f>
        <v/>
      </c>
      <c r="M20" s="83" t="str" cm="1">
        <f t="array" ref="M20">IFERROR(INDEX(E$5:E$49,SMALL(IF(D$5:D$49&lt;&gt;"",ROW(E$5:E$49)-ROW(E$5)+1),ROWS(E$5:E21))),"")</f>
        <v/>
      </c>
      <c r="N20" s="84" t="str">
        <f t="shared" si="0"/>
        <v/>
      </c>
      <c r="O20" s="85" t="str">
        <f t="shared" si="1"/>
        <v xml:space="preserve"> </v>
      </c>
    </row>
    <row r="21" spans="1:15" ht="36.65" customHeight="1" x14ac:dyDescent="0.35">
      <c r="A21" s="77"/>
      <c r="B21" s="113"/>
      <c r="C21" s="112"/>
      <c r="D21" s="77"/>
      <c r="E21" s="114"/>
      <c r="F21" s="77"/>
      <c r="G21" s="77"/>
      <c r="H21" s="111"/>
      <c r="I21" s="111"/>
      <c r="J21" s="77"/>
      <c r="L21" s="83" t="str" cm="1">
        <f t="array" ref="L21">IFERROR(INDEX(D$5:D$49,SMALL(IF(E$5:E$49&lt;&gt;"",ROW(D$5:D$49)-ROW(D$5)+1),ROWS(D$5:D22))),"")</f>
        <v/>
      </c>
      <c r="M21" s="83" t="str" cm="1">
        <f t="array" ref="M21">IFERROR(INDEX(E$5:E$49,SMALL(IF(D$5:D$49&lt;&gt;"",ROW(E$5:E$49)-ROW(E$5)+1),ROWS(E$5:E22))),"")</f>
        <v/>
      </c>
      <c r="N21" s="84" t="str">
        <f t="shared" si="0"/>
        <v/>
      </c>
      <c r="O21" s="85" t="str">
        <f t="shared" si="1"/>
        <v xml:space="preserve"> </v>
      </c>
    </row>
    <row r="22" spans="1:15" ht="36.65" customHeight="1" x14ac:dyDescent="0.35">
      <c r="A22" s="77"/>
      <c r="B22" s="113"/>
      <c r="C22" s="112"/>
      <c r="D22" s="77"/>
      <c r="E22" s="114"/>
      <c r="F22" s="115"/>
      <c r="G22" s="114"/>
      <c r="H22" s="111"/>
      <c r="I22" s="111"/>
      <c r="J22" s="77"/>
      <c r="L22" s="83" t="str" cm="1">
        <f t="array" ref="L22">IFERROR(INDEX(D$5:D$49,SMALL(IF(E$5:E$49&lt;&gt;"",ROW(D$5:D$49)-ROW(D$5)+1),ROWS(D$5:D23))),"")</f>
        <v/>
      </c>
      <c r="M22" s="83" t="str" cm="1">
        <f t="array" ref="M22">IFERROR(INDEX(E$5:E$49,SMALL(IF(D$5:D$49&lt;&gt;"",ROW(E$5:E$49)-ROW(E$5)+1),ROWS(E$5:E23))),"")</f>
        <v/>
      </c>
      <c r="N22" s="84" t="str">
        <f t="shared" si="0"/>
        <v/>
      </c>
      <c r="O22" s="85" t="str">
        <f t="shared" si="1"/>
        <v xml:space="preserve"> </v>
      </c>
    </row>
    <row r="23" spans="1:15" ht="36.65" customHeight="1" x14ac:dyDescent="0.35">
      <c r="A23" s="77"/>
      <c r="B23" s="113"/>
      <c r="C23" s="112"/>
      <c r="D23" s="77"/>
      <c r="E23" s="114"/>
      <c r="F23" s="115"/>
      <c r="G23" s="114"/>
      <c r="H23" s="111"/>
      <c r="I23" s="111"/>
      <c r="J23" s="77"/>
      <c r="L23" s="83" t="str" cm="1">
        <f t="array" ref="L23">IFERROR(INDEX(D$5:D$49,SMALL(IF(E$5:E$49&lt;&gt;"",ROW(D$5:D$49)-ROW(D$5)+1),ROWS(D$5:D24))),"")</f>
        <v/>
      </c>
      <c r="M23" s="83" t="str" cm="1">
        <f t="array" ref="M23">IFERROR(INDEX(E$5:E$49,SMALL(IF(D$5:D$49&lt;&gt;"",ROW(E$5:E$49)-ROW(E$5)+1),ROWS(E$5:E24))),"")</f>
        <v/>
      </c>
      <c r="N23" s="84" t="str">
        <f t="shared" si="0"/>
        <v/>
      </c>
      <c r="O23" s="85" t="str">
        <f t="shared" si="1"/>
        <v xml:space="preserve"> </v>
      </c>
    </row>
    <row r="24" spans="1:15" ht="36.65" customHeight="1" x14ac:dyDescent="0.35">
      <c r="A24" s="77"/>
      <c r="B24" s="113"/>
      <c r="C24" s="112"/>
      <c r="D24" s="77"/>
      <c r="E24" s="114"/>
      <c r="F24" s="115"/>
      <c r="G24" s="114"/>
      <c r="H24" s="111"/>
      <c r="I24" s="111"/>
      <c r="J24" s="77"/>
      <c r="L24" s="83" t="str" cm="1">
        <f t="array" ref="L24">IFERROR(INDEX(D$5:D$49,SMALL(IF(E$5:E$49&lt;&gt;"",ROW(D$5:D$49)-ROW(D$5)+1),ROWS(D$5:D25))),"")</f>
        <v/>
      </c>
      <c r="M24" s="83" t="str" cm="1">
        <f t="array" ref="M24">IFERROR(INDEX(E$5:E$49,SMALL(IF(D$5:D$49&lt;&gt;"",ROW(E$5:E$49)-ROW(E$5)+1),ROWS(E$5:E25))),"")</f>
        <v/>
      </c>
      <c r="N24" s="84" t="str">
        <f t="shared" si="0"/>
        <v/>
      </c>
      <c r="O24" s="85" t="str">
        <f t="shared" si="1"/>
        <v xml:space="preserve"> </v>
      </c>
    </row>
    <row r="25" spans="1:15" ht="36.65" customHeight="1" x14ac:dyDescent="0.35">
      <c r="A25" s="77"/>
      <c r="B25" s="113"/>
      <c r="C25" s="112"/>
      <c r="D25" s="77"/>
      <c r="E25" s="114"/>
      <c r="F25" s="77"/>
      <c r="G25" s="77"/>
      <c r="H25" s="111"/>
      <c r="I25" s="111"/>
      <c r="J25" s="77"/>
      <c r="L25" s="83" t="str" cm="1">
        <f t="array" ref="L25">IFERROR(INDEX(D$5:D$49,SMALL(IF(E$5:E$49&lt;&gt;"",ROW(D$5:D$49)-ROW(D$5)+1),ROWS(D$5:D26))),"")</f>
        <v/>
      </c>
      <c r="M25" s="83" t="str" cm="1">
        <f t="array" ref="M25">IFERROR(INDEX(E$5:E$49,SMALL(IF(D$5:D$49&lt;&gt;"",ROW(E$5:E$49)-ROW(E$5)+1),ROWS(E$5:E26))),"")</f>
        <v/>
      </c>
      <c r="N25" s="84" t="str">
        <f t="shared" si="0"/>
        <v/>
      </c>
      <c r="O25" s="85" t="str">
        <f t="shared" si="1"/>
        <v xml:space="preserve"> </v>
      </c>
    </row>
    <row r="26" spans="1:15" ht="36.65" customHeight="1" x14ac:dyDescent="0.35">
      <c r="A26" s="77"/>
      <c r="B26" s="113"/>
      <c r="C26" s="112"/>
      <c r="D26" s="77"/>
      <c r="E26" s="114"/>
      <c r="F26" s="77"/>
      <c r="G26" s="77"/>
      <c r="H26" s="111"/>
      <c r="I26" s="111"/>
      <c r="J26" s="77"/>
      <c r="L26" s="83" t="str" cm="1">
        <f t="array" ref="L26">IFERROR(INDEX(D$5:D$49,SMALL(IF(E$5:E$49&lt;&gt;"",ROW(D$5:D$49)-ROW(D$5)+1),ROWS(D$5:D27))),"")</f>
        <v/>
      </c>
      <c r="M26" s="83" t="str" cm="1">
        <f t="array" ref="M26">IFERROR(INDEX(E$5:E$49,SMALL(IF(D$5:D$49&lt;&gt;"",ROW(E$5:E$49)-ROW(E$5)+1),ROWS(E$5:E27))),"")</f>
        <v/>
      </c>
      <c r="N26" s="84" t="str">
        <f t="shared" si="0"/>
        <v/>
      </c>
      <c r="O26" s="85" t="str">
        <f t="shared" si="1"/>
        <v xml:space="preserve"> </v>
      </c>
    </row>
    <row r="27" spans="1:15" ht="36.65" customHeight="1" x14ac:dyDescent="0.35">
      <c r="A27" s="77"/>
      <c r="B27" s="113"/>
      <c r="C27" s="112"/>
      <c r="D27" s="77"/>
      <c r="E27" s="114"/>
      <c r="F27" s="77"/>
      <c r="G27" s="77"/>
      <c r="H27" s="111"/>
      <c r="I27" s="111"/>
      <c r="J27" s="77"/>
      <c r="L27" s="83" t="str" cm="1">
        <f t="array" ref="L27">IFERROR(INDEX(D$5:D$49,SMALL(IF(E$5:E$49&lt;&gt;"",ROW(D$5:D$49)-ROW(D$5)+1),ROWS(D$5:D28))),"")</f>
        <v/>
      </c>
      <c r="M27" s="83" t="str" cm="1">
        <f t="array" ref="M27">IFERROR(INDEX(E$5:E$49,SMALL(IF(D$5:D$49&lt;&gt;"",ROW(E$5:E$49)-ROW(E$5)+1),ROWS(E$5:E28))),"")</f>
        <v/>
      </c>
      <c r="N27" s="84" t="str">
        <f t="shared" si="0"/>
        <v/>
      </c>
      <c r="O27" s="85" t="str">
        <f t="shared" si="1"/>
        <v xml:space="preserve"> </v>
      </c>
    </row>
    <row r="28" spans="1:15" ht="36.65" customHeight="1" x14ac:dyDescent="0.35">
      <c r="A28" s="77"/>
      <c r="B28" s="116"/>
      <c r="C28" s="112"/>
      <c r="D28" s="77"/>
      <c r="E28" s="114"/>
      <c r="F28" s="77"/>
      <c r="G28" s="77"/>
      <c r="H28" s="111"/>
      <c r="I28" s="111"/>
      <c r="J28" s="77"/>
      <c r="L28" s="83" t="str" cm="1">
        <f t="array" ref="L28">IFERROR(INDEX(D$5:D$49,SMALL(IF(E$5:E$49&lt;&gt;"",ROW(D$5:D$49)-ROW(D$5)+1),ROWS(D$5:D29))),"")</f>
        <v/>
      </c>
      <c r="M28" s="83" t="str" cm="1">
        <f t="array" ref="M28">IFERROR(INDEX(E$5:E$49,SMALL(IF(D$5:D$49&lt;&gt;"",ROW(E$5:E$49)-ROW(E$5)+1),ROWS(E$5:E29))),"")</f>
        <v/>
      </c>
      <c r="N28" s="84" t="str">
        <f t="shared" si="0"/>
        <v/>
      </c>
      <c r="O28" s="85" t="str">
        <f t="shared" si="1"/>
        <v xml:space="preserve"> </v>
      </c>
    </row>
    <row r="29" spans="1:15" ht="36.65" customHeight="1" x14ac:dyDescent="0.35">
      <c r="A29" s="77"/>
      <c r="B29" s="116"/>
      <c r="C29" s="112"/>
      <c r="D29" s="77"/>
      <c r="E29" s="114"/>
      <c r="F29" s="77"/>
      <c r="G29" s="77"/>
      <c r="H29" s="111"/>
      <c r="I29" s="111"/>
      <c r="J29" s="77"/>
      <c r="L29" s="83" t="str" cm="1">
        <f t="array" ref="L29">IFERROR(INDEX(D$5:D$49,SMALL(IF(E$5:E$49&lt;&gt;"",ROW(D$5:D$49)-ROW(D$5)+1),ROWS(D$5:D30))),"")</f>
        <v/>
      </c>
      <c r="M29" s="83" t="str" cm="1">
        <f t="array" ref="M29">IFERROR(INDEX(E$5:E$49,SMALL(IF(D$5:D$49&lt;&gt;"",ROW(E$5:E$49)-ROW(E$5)+1),ROWS(E$5:E30))),"")</f>
        <v/>
      </c>
      <c r="N29" s="84" t="str">
        <f t="shared" si="0"/>
        <v/>
      </c>
      <c r="O29" s="85" t="str">
        <f t="shared" si="1"/>
        <v xml:space="preserve"> </v>
      </c>
    </row>
    <row r="30" spans="1:15" ht="36.65" customHeight="1" x14ac:dyDescent="0.35">
      <c r="A30" s="77"/>
      <c r="B30" s="116"/>
      <c r="C30" s="112"/>
      <c r="D30" s="77"/>
      <c r="E30" s="114"/>
      <c r="F30" s="77"/>
      <c r="G30" s="77"/>
      <c r="H30" s="77"/>
      <c r="I30" s="77"/>
      <c r="J30" s="77"/>
      <c r="L30" s="83" t="str" cm="1">
        <f t="array" ref="L30">IFERROR(INDEX(D$5:D$49,SMALL(IF(E$5:E$49&lt;&gt;"",ROW(D$5:D$49)-ROW(D$5)+1),ROWS(D$5:D31))),"")</f>
        <v/>
      </c>
      <c r="M30" s="83" t="str" cm="1">
        <f t="array" ref="M30">IFERROR(INDEX(E$5:E$49,SMALL(IF(D$5:D$49&lt;&gt;"",ROW(E$5:E$49)-ROW(E$5)+1),ROWS(E$5:E31))),"")</f>
        <v/>
      </c>
      <c r="N30" s="84" t="str">
        <f t="shared" si="0"/>
        <v/>
      </c>
      <c r="O30" s="85" t="str">
        <f t="shared" si="1"/>
        <v xml:space="preserve"> </v>
      </c>
    </row>
    <row r="31" spans="1:15" ht="36.65" customHeight="1" x14ac:dyDescent="0.35">
      <c r="A31" s="77"/>
      <c r="B31" s="77"/>
      <c r="C31" s="77"/>
      <c r="D31" s="77"/>
      <c r="E31" s="114"/>
      <c r="F31" s="77"/>
      <c r="G31" s="77"/>
      <c r="H31" s="77"/>
      <c r="I31" s="77"/>
      <c r="J31" s="77"/>
      <c r="L31" s="83" t="str" cm="1">
        <f t="array" ref="L31">IFERROR(INDEX(D$5:D$49,SMALL(IF(E$5:E$49&lt;&gt;"",ROW(D$5:D$49)-ROW(D$5)+1),ROWS(D$5:D32))),"")</f>
        <v/>
      </c>
      <c r="M31" s="83" t="str" cm="1">
        <f t="array" ref="M31">IFERROR(INDEX(E$5:E$49,SMALL(IF(D$5:D$49&lt;&gt;"",ROW(E$5:E$49)-ROW(E$5)+1),ROWS(E$5:E32))),"")</f>
        <v/>
      </c>
      <c r="N31" s="84" t="str">
        <f t="shared" si="0"/>
        <v/>
      </c>
      <c r="O31" s="85" t="str">
        <f t="shared" si="1"/>
        <v xml:space="preserve"> </v>
      </c>
    </row>
    <row r="32" spans="1:15" ht="36.65" customHeight="1" x14ac:dyDescent="0.35">
      <c r="A32" s="77"/>
      <c r="B32" s="77"/>
      <c r="C32" s="77"/>
      <c r="D32" s="77"/>
      <c r="E32" s="114"/>
      <c r="F32" s="77"/>
      <c r="G32" s="77"/>
      <c r="H32" s="77"/>
      <c r="I32" s="77"/>
      <c r="J32" s="77"/>
      <c r="L32" s="83" t="str" cm="1">
        <f t="array" ref="L32">IFERROR(INDEX(D$5:D$49,SMALL(IF(E$5:E$49&lt;&gt;"",ROW(D$5:D$49)-ROW(D$5)+1),ROWS(D$5:D33))),"")</f>
        <v/>
      </c>
      <c r="M32" s="83" t="str" cm="1">
        <f t="array" ref="M32">IFERROR(INDEX(E$5:E$49,SMALL(IF(D$5:D$49&lt;&gt;"",ROW(E$5:E$49)-ROW(E$5)+1),ROWS(E$5:E33))),"")</f>
        <v/>
      </c>
      <c r="N32" s="84" t="str">
        <f t="shared" si="0"/>
        <v/>
      </c>
      <c r="O32" s="85" t="str">
        <f t="shared" si="1"/>
        <v xml:space="preserve"> </v>
      </c>
    </row>
    <row r="33" spans="1:15" ht="29.15" customHeight="1" x14ac:dyDescent="0.35">
      <c r="A33" s="77"/>
      <c r="B33" s="77"/>
      <c r="C33" s="77"/>
      <c r="D33" s="77"/>
      <c r="E33" s="114"/>
      <c r="F33" s="77"/>
      <c r="G33" s="77"/>
      <c r="H33" s="77"/>
      <c r="I33" s="77"/>
      <c r="J33" s="77"/>
      <c r="L33" s="83" t="str" cm="1">
        <f t="array" ref="L33">IFERROR(INDEX(D$5:D$49,SMALL(IF(E$5:E$49&lt;&gt;"",ROW(D$5:D$49)-ROW(D$5)+1),ROWS(D$5:D34))),"")</f>
        <v/>
      </c>
      <c r="M33" s="83" t="str" cm="1">
        <f t="array" ref="M33">IFERROR(INDEX(E$5:E$49,SMALL(IF(D$5:D$49&lt;&gt;"",ROW(E$5:E$49)-ROW(E$5)+1),ROWS(E$5:E34))),"")</f>
        <v/>
      </c>
      <c r="N33" s="84" t="str">
        <f t="shared" si="0"/>
        <v/>
      </c>
      <c r="O33" s="85" t="str">
        <f t="shared" si="1"/>
        <v xml:space="preserve"> </v>
      </c>
    </row>
    <row r="34" spans="1:15" ht="29.15" customHeight="1" x14ac:dyDescent="0.35">
      <c r="A34" s="77"/>
      <c r="B34" s="77"/>
      <c r="C34" s="77"/>
      <c r="D34" s="77"/>
      <c r="E34" s="114"/>
      <c r="F34" s="77"/>
      <c r="G34" s="77"/>
      <c r="H34" s="77"/>
      <c r="I34" s="77"/>
      <c r="J34" s="77"/>
      <c r="L34" s="83" t="str" cm="1">
        <f t="array" ref="L34">IFERROR(INDEX(D$5:D$49,SMALL(IF(E$5:E$49&lt;&gt;"",ROW(D$5:D$49)-ROW(D$5)+1),ROWS(D$5:D35))),"")</f>
        <v/>
      </c>
      <c r="M34" s="83" t="str" cm="1">
        <f t="array" ref="M34">IFERROR(INDEX(E$5:E$49,SMALL(IF(D$5:D$49&lt;&gt;"",ROW(E$5:E$49)-ROW(E$5)+1),ROWS(E$5:E35))),"")</f>
        <v/>
      </c>
      <c r="N34" s="84" t="str">
        <f t="shared" si="0"/>
        <v/>
      </c>
      <c r="O34" s="85" t="str">
        <f t="shared" si="1"/>
        <v xml:space="preserve"> </v>
      </c>
    </row>
    <row r="35" spans="1:15" ht="29.15" customHeight="1" x14ac:dyDescent="0.35">
      <c r="A35" s="77"/>
      <c r="B35" s="77"/>
      <c r="C35" s="77"/>
      <c r="D35" s="77"/>
      <c r="E35" s="114"/>
      <c r="F35" s="77"/>
      <c r="G35" s="77"/>
      <c r="H35" s="77"/>
      <c r="I35" s="77"/>
      <c r="J35" s="77"/>
      <c r="L35" s="83" t="str" cm="1">
        <f t="array" ref="L35">IFERROR(INDEX(D$5:D$49,SMALL(IF(E$5:E$49&lt;&gt;"",ROW(D$5:D$49)-ROW(D$5)+1),ROWS(D$5:D36))),"")</f>
        <v/>
      </c>
      <c r="M35" s="83" t="str" cm="1">
        <f t="array" ref="M35">IFERROR(INDEX(E$5:E$49,SMALL(IF(D$5:D$49&lt;&gt;"",ROW(E$5:E$49)-ROW(E$5)+1),ROWS(E$5:E36))),"")</f>
        <v/>
      </c>
      <c r="N35" s="84" t="str">
        <f t="shared" si="0"/>
        <v/>
      </c>
      <c r="O35" s="85" t="str">
        <f t="shared" si="1"/>
        <v xml:space="preserve"> </v>
      </c>
    </row>
    <row r="36" spans="1:15" ht="29.15" customHeight="1" x14ac:dyDescent="0.35">
      <c r="A36" s="77"/>
      <c r="B36" s="77"/>
      <c r="C36" s="77"/>
      <c r="D36" s="77"/>
      <c r="E36" s="114"/>
      <c r="F36" s="77"/>
      <c r="G36" s="77"/>
      <c r="H36" s="77"/>
      <c r="I36" s="77"/>
      <c r="J36" s="77"/>
      <c r="L36" s="83" t="str" cm="1">
        <f t="array" ref="L36">IFERROR(INDEX(D$5:D$49,SMALL(IF(E$5:E$49&lt;&gt;"",ROW(D$5:D$49)-ROW(D$5)+1),ROWS(D$5:D37))),"")</f>
        <v/>
      </c>
      <c r="M36" s="83" t="str" cm="1">
        <f t="array" ref="M36">IFERROR(INDEX(E$5:E$49,SMALL(IF(D$5:D$49&lt;&gt;"",ROW(E$5:E$49)-ROW(E$5)+1),ROWS(E$5:E37))),"")</f>
        <v/>
      </c>
      <c r="N36" s="84" t="str">
        <f t="shared" si="0"/>
        <v/>
      </c>
      <c r="O36" s="85" t="str">
        <f t="shared" si="1"/>
        <v xml:space="preserve"> </v>
      </c>
    </row>
    <row r="37" spans="1:15" ht="29.15" customHeight="1" x14ac:dyDescent="0.35">
      <c r="A37" s="77"/>
      <c r="B37" s="77"/>
      <c r="C37" s="77"/>
      <c r="D37" s="77"/>
      <c r="E37" s="114"/>
      <c r="F37" s="77"/>
      <c r="G37" s="77"/>
      <c r="H37" s="77"/>
      <c r="I37" s="77"/>
      <c r="J37" s="77"/>
      <c r="L37" s="83" t="str" cm="1">
        <f t="array" ref="L37">IFERROR(INDEX(D$5:D$49,SMALL(IF(E$5:E$49&lt;&gt;"",ROW(D$5:D$49)-ROW(D$5)+1),ROWS(D$5:D38))),"")</f>
        <v/>
      </c>
      <c r="M37" s="83" t="str" cm="1">
        <f t="array" ref="M37">IFERROR(INDEX(E$5:E$49,SMALL(IF(D$5:D$49&lt;&gt;"",ROW(E$5:E$49)-ROW(E$5)+1),ROWS(E$5:E38))),"")</f>
        <v/>
      </c>
      <c r="N37" s="84" t="str">
        <f t="shared" si="0"/>
        <v/>
      </c>
      <c r="O37" s="85" t="str">
        <f t="shared" si="1"/>
        <v xml:space="preserve"> </v>
      </c>
    </row>
    <row r="38" spans="1:15" ht="29.15" customHeight="1" x14ac:dyDescent="0.35">
      <c r="A38" s="77"/>
      <c r="B38" s="77"/>
      <c r="C38" s="77"/>
      <c r="D38" s="77"/>
      <c r="E38" s="114"/>
      <c r="F38" s="77"/>
      <c r="G38" s="77"/>
      <c r="H38" s="77"/>
      <c r="I38" s="77"/>
      <c r="J38" s="77"/>
      <c r="L38" s="83" t="str" cm="1">
        <f t="array" ref="L38">IFERROR(INDEX(D$5:D$49,SMALL(IF(E$5:E$49&lt;&gt;"",ROW(D$5:D$49)-ROW(D$5)+1),ROWS(D$5:D39))),"")</f>
        <v/>
      </c>
      <c r="M38" s="83" t="str" cm="1">
        <f t="array" ref="M38">IFERROR(INDEX(E$5:E$49,SMALL(IF(D$5:D$49&lt;&gt;"",ROW(E$5:E$49)-ROW(E$5)+1),ROWS(E$5:E39))),"")</f>
        <v/>
      </c>
      <c r="N38" s="84" t="str">
        <f t="shared" si="0"/>
        <v/>
      </c>
      <c r="O38" s="85" t="str">
        <f t="shared" si="1"/>
        <v xml:space="preserve"> </v>
      </c>
    </row>
    <row r="39" spans="1:15" ht="29.15" customHeight="1" x14ac:dyDescent="0.35">
      <c r="A39" s="77"/>
      <c r="B39" s="77"/>
      <c r="C39" s="77"/>
      <c r="D39" s="77"/>
      <c r="E39" s="114"/>
      <c r="F39" s="77"/>
      <c r="G39" s="77"/>
      <c r="H39" s="77"/>
      <c r="I39" s="77"/>
      <c r="J39" s="77"/>
      <c r="L39" s="83" t="str" cm="1">
        <f t="array" ref="L39">IFERROR(INDEX(D$5:D$49,SMALL(IF(E$5:E$49&lt;&gt;"",ROW(D$5:D$49)-ROW(D$5)+1),ROWS(D$5:D40))),"")</f>
        <v/>
      </c>
      <c r="M39" s="83" t="str" cm="1">
        <f t="array" ref="M39">IFERROR(INDEX(E$5:E$49,SMALL(IF(D$5:D$49&lt;&gt;"",ROW(E$5:E$49)-ROW(E$5)+1),ROWS(E$5:E40))),"")</f>
        <v/>
      </c>
      <c r="N39" s="84" t="str">
        <f t="shared" si="0"/>
        <v/>
      </c>
      <c r="O39" s="85" t="str">
        <f t="shared" si="1"/>
        <v xml:space="preserve"> </v>
      </c>
    </row>
    <row r="40" spans="1:15" ht="29.15" customHeight="1" x14ac:dyDescent="0.35">
      <c r="A40" s="77"/>
      <c r="B40" s="77"/>
      <c r="C40" s="77"/>
      <c r="D40" s="77"/>
      <c r="E40" s="114"/>
      <c r="F40" s="77"/>
      <c r="G40" s="77"/>
      <c r="H40" s="77"/>
      <c r="I40" s="77"/>
      <c r="J40" s="77"/>
      <c r="L40" s="83" t="str" cm="1">
        <f t="array" ref="L40">IFERROR(INDEX(D$5:D$49,SMALL(IF(E$5:E$49&lt;&gt;"",ROW(D$5:D$49)-ROW(D$5)+1),ROWS(D$5:D41))),"")</f>
        <v/>
      </c>
      <c r="M40" s="83" t="str" cm="1">
        <f t="array" ref="M40">IFERROR(INDEX(E$5:E$49,SMALL(IF(D$5:D$49&lt;&gt;"",ROW(E$5:E$49)-ROW(E$5)+1),ROWS(E$5:E41))),"")</f>
        <v/>
      </c>
      <c r="N40" s="84" t="str">
        <f t="shared" si="0"/>
        <v/>
      </c>
      <c r="O40" s="85" t="str">
        <f t="shared" si="1"/>
        <v xml:space="preserve"> </v>
      </c>
    </row>
    <row r="41" spans="1:15" ht="29.15" customHeight="1" x14ac:dyDescent="0.35">
      <c r="A41" s="77"/>
      <c r="B41" s="77"/>
      <c r="C41" s="77"/>
      <c r="D41" s="77"/>
      <c r="E41" s="114"/>
      <c r="F41" s="77"/>
      <c r="G41" s="77"/>
      <c r="H41" s="77"/>
      <c r="I41" s="77"/>
      <c r="J41" s="77"/>
      <c r="L41" s="83" t="str" cm="1">
        <f t="array" ref="L41">IFERROR(INDEX(D$5:D$49,SMALL(IF(E$5:E$49&lt;&gt;"",ROW(D$5:D$49)-ROW(D$5)+1),ROWS(D$5:D42))),"")</f>
        <v/>
      </c>
      <c r="M41" s="83" t="str" cm="1">
        <f t="array" ref="M41">IFERROR(INDEX(E$5:E$49,SMALL(IF(D$5:D$49&lt;&gt;"",ROW(E$5:E$49)-ROW(E$5)+1),ROWS(E$5:E42))),"")</f>
        <v/>
      </c>
      <c r="N41" s="84" t="str">
        <f t="shared" si="0"/>
        <v/>
      </c>
      <c r="O41" s="85" t="str">
        <f t="shared" si="1"/>
        <v xml:space="preserve"> </v>
      </c>
    </row>
    <row r="42" spans="1:15" ht="29.15" customHeight="1" x14ac:dyDescent="0.35">
      <c r="A42" s="77"/>
      <c r="B42" s="77"/>
      <c r="C42" s="77"/>
      <c r="D42" s="77"/>
      <c r="E42" s="114"/>
      <c r="F42" s="77"/>
      <c r="G42" s="77"/>
      <c r="H42" s="77"/>
      <c r="I42" s="77"/>
      <c r="J42" s="77"/>
      <c r="L42" s="83" t="str" cm="1">
        <f t="array" ref="L42">IFERROR(INDEX(D$5:D$49,SMALL(IF(E$5:E$49&lt;&gt;"",ROW(D$5:D$49)-ROW(D$5)+1),ROWS(D$5:D43))),"")</f>
        <v/>
      </c>
      <c r="M42" s="83" t="str" cm="1">
        <f t="array" ref="M42">IFERROR(INDEX(E$5:E$49,SMALL(IF(D$5:D$49&lt;&gt;"",ROW(E$5:E$49)-ROW(E$5)+1),ROWS(E$5:E43))),"")</f>
        <v/>
      </c>
      <c r="N42" s="84" t="str">
        <f t="shared" si="0"/>
        <v/>
      </c>
      <c r="O42" s="85" t="str">
        <f t="shared" si="1"/>
        <v xml:space="preserve"> </v>
      </c>
    </row>
    <row r="43" spans="1:15" ht="29.15" customHeight="1" x14ac:dyDescent="0.35">
      <c r="A43" s="77"/>
      <c r="B43" s="77"/>
      <c r="C43" s="77"/>
      <c r="D43" s="77"/>
      <c r="E43" s="114"/>
      <c r="F43" s="77"/>
      <c r="G43" s="77"/>
      <c r="H43" s="77"/>
      <c r="I43" s="77"/>
      <c r="J43" s="77"/>
      <c r="L43" s="83" t="str" cm="1">
        <f t="array" ref="L43">IFERROR(INDEX(D$5:D$49,SMALL(IF(E$5:E$49&lt;&gt;"",ROW(D$5:D$49)-ROW(D$5)+1),ROWS(D$5:D44))),"")</f>
        <v/>
      </c>
      <c r="M43" s="83" t="str" cm="1">
        <f t="array" ref="M43">IFERROR(INDEX(E$5:E$49,SMALL(IF(D$5:D$49&lt;&gt;"",ROW(E$5:E$49)-ROW(E$5)+1),ROWS(E$5:E44))),"")</f>
        <v/>
      </c>
      <c r="N43" s="84" t="str">
        <f t="shared" si="0"/>
        <v/>
      </c>
      <c r="O43" s="85" t="str">
        <f t="shared" si="1"/>
        <v xml:space="preserve"> </v>
      </c>
    </row>
    <row r="44" spans="1:15" ht="29.15" customHeight="1" x14ac:dyDescent="0.35">
      <c r="A44" s="77"/>
      <c r="B44" s="77"/>
      <c r="C44" s="77"/>
      <c r="D44" s="77"/>
      <c r="E44" s="114"/>
      <c r="F44" s="77"/>
      <c r="G44" s="77"/>
      <c r="H44" s="77"/>
      <c r="I44" s="77"/>
      <c r="J44" s="77"/>
      <c r="L44" s="83" t="str" cm="1">
        <f t="array" ref="L44">IFERROR(INDEX(D$5:D$49,SMALL(IF(E$5:E$49&lt;&gt;"",ROW(D$5:D$49)-ROW(D$5)+1),ROWS(D$5:D45))),"")</f>
        <v/>
      </c>
      <c r="M44" s="83" t="str" cm="1">
        <f t="array" ref="M44">IFERROR(INDEX(E$5:E$49,SMALL(IF(D$5:D$49&lt;&gt;"",ROW(E$5:E$49)-ROW(E$5)+1),ROWS(E$5:E45))),"")</f>
        <v/>
      </c>
      <c r="N44" s="84" t="str">
        <f t="shared" si="0"/>
        <v/>
      </c>
      <c r="O44" s="85" t="str">
        <f t="shared" si="1"/>
        <v xml:space="preserve"> </v>
      </c>
    </row>
    <row r="45" spans="1:15" ht="29.15" customHeight="1" x14ac:dyDescent="0.35">
      <c r="A45" s="77"/>
      <c r="B45" s="77"/>
      <c r="C45" s="77"/>
      <c r="D45" s="77"/>
      <c r="E45" s="114"/>
      <c r="F45" s="77"/>
      <c r="G45" s="77"/>
      <c r="H45" s="77"/>
      <c r="I45" s="77"/>
      <c r="J45" s="77"/>
      <c r="L45" s="83" t="str" cm="1">
        <f t="array" ref="L45">IFERROR(INDEX(D$5:D$49,SMALL(IF(E$5:E$49&lt;&gt;"",ROW(D$5:D$49)-ROW(D$5)+1),ROWS(D$5:D46))),"")</f>
        <v/>
      </c>
      <c r="M45" s="83" t="str" cm="1">
        <f t="array" ref="M45">IFERROR(INDEX(E$5:E$49,SMALL(IF(D$5:D$49&lt;&gt;"",ROW(E$5:E$49)-ROW(E$5)+1),ROWS(E$5:E46))),"")</f>
        <v/>
      </c>
      <c r="N45" s="84" t="str">
        <f t="shared" si="0"/>
        <v/>
      </c>
      <c r="O45" s="85" t="str">
        <f t="shared" si="1"/>
        <v xml:space="preserve"> </v>
      </c>
    </row>
    <row r="46" spans="1:15" ht="29.15" customHeight="1" x14ac:dyDescent="0.35">
      <c r="A46" s="77"/>
      <c r="B46" s="77"/>
      <c r="C46" s="77"/>
      <c r="D46" s="77"/>
      <c r="E46" s="114"/>
      <c r="F46" s="77"/>
      <c r="G46" s="77"/>
      <c r="H46" s="77"/>
      <c r="I46" s="77"/>
      <c r="J46" s="77"/>
      <c r="L46" s="83" t="str" cm="1">
        <f t="array" ref="L46">IFERROR(INDEX(D$5:D$49,SMALL(IF(E$5:E$49&lt;&gt;"",ROW(D$5:D$49)-ROW(D$5)+1),ROWS(D$5:D47))),"")</f>
        <v/>
      </c>
      <c r="M46" s="83" t="str" cm="1">
        <f t="array" ref="M46">IFERROR(INDEX(E$5:E$49,SMALL(IF(D$5:D$49&lt;&gt;"",ROW(E$5:E$49)-ROW(E$5)+1),ROWS(E$5:E47))),"")</f>
        <v/>
      </c>
      <c r="N46" s="84" t="str">
        <f t="shared" si="0"/>
        <v/>
      </c>
      <c r="O46" s="85" t="str">
        <f t="shared" si="1"/>
        <v xml:space="preserve"> </v>
      </c>
    </row>
    <row r="47" spans="1:15" ht="29.15" customHeight="1" x14ac:dyDescent="0.35">
      <c r="A47" s="77"/>
      <c r="B47" s="77"/>
      <c r="C47" s="77"/>
      <c r="D47" s="77"/>
      <c r="E47" s="114"/>
      <c r="F47" s="77"/>
      <c r="G47" s="77"/>
      <c r="H47" s="77"/>
      <c r="I47" s="77"/>
      <c r="J47" s="77"/>
      <c r="L47" s="83" t="str" cm="1">
        <f t="array" ref="L47">IFERROR(INDEX(D$5:D$49,SMALL(IF(E$5:E$49&lt;&gt;"",ROW(D$5:D$49)-ROW(D$5)+1),ROWS(D$5:D48))),"")</f>
        <v/>
      </c>
      <c r="M47" s="83" t="str" cm="1">
        <f t="array" ref="M47">IFERROR(INDEX(E$5:E$49,SMALL(IF(D$5:D$49&lt;&gt;"",ROW(E$5:E$49)-ROW(E$5)+1),ROWS(E$5:E48))),"")</f>
        <v/>
      </c>
      <c r="N47" s="84" t="str">
        <f t="shared" si="0"/>
        <v/>
      </c>
      <c r="O47" s="85" t="str">
        <f t="shared" si="1"/>
        <v xml:space="preserve"> </v>
      </c>
    </row>
    <row r="48" spans="1:15" ht="29.15" customHeight="1" x14ac:dyDescent="0.35">
      <c r="A48" s="77"/>
      <c r="B48" s="77"/>
      <c r="C48" s="77"/>
      <c r="D48" s="77"/>
      <c r="E48" s="114"/>
      <c r="F48" s="77"/>
      <c r="G48" s="77"/>
      <c r="H48" s="77"/>
      <c r="I48" s="77"/>
      <c r="J48" s="77"/>
      <c r="L48" s="83" t="str" cm="1">
        <f t="array" ref="L48">IFERROR(INDEX(D$5:D$49,SMALL(IF(E$5:E$49&lt;&gt;"",ROW(D$5:D$49)-ROW(D$5)+1),ROWS(D$5:D49))),"")</f>
        <v/>
      </c>
      <c r="M48" s="83" t="str" cm="1">
        <f t="array" ref="M48">IFERROR(INDEX(E$5:E$49,SMALL(IF(D$5:D$49&lt;&gt;"",ROW(E$5:E$49)-ROW(E$5)+1),ROWS(E$5:E49))),"")</f>
        <v/>
      </c>
      <c r="N48" s="84" t="str">
        <f t="shared" si="0"/>
        <v/>
      </c>
      <c r="O48" s="85" t="str">
        <f t="shared" si="1"/>
        <v xml:space="preserve"> </v>
      </c>
    </row>
    <row r="49" spans="1:15" ht="29.15" customHeight="1" x14ac:dyDescent="0.35">
      <c r="A49" s="77"/>
      <c r="B49" s="77"/>
      <c r="C49" s="77"/>
      <c r="D49" s="77"/>
      <c r="E49" s="114"/>
      <c r="F49" s="77"/>
      <c r="G49" s="77"/>
      <c r="H49" s="77"/>
      <c r="I49" s="77"/>
      <c r="J49" s="77"/>
      <c r="L49" s="83" t="str" cm="1">
        <f t="array" ref="L49">IFERROR(INDEX(D$5:D$49,SMALL(IF(E$5:E$49&lt;&gt;"",ROW(D$5:D$49)-ROW(D$5)+1),ROWS(D$5:D50))),"")</f>
        <v/>
      </c>
      <c r="M49" s="83" t="str" cm="1">
        <f t="array" ref="M49">IFERROR(INDEX(E$5:E$49,SMALL(IF(D$5:D$49&lt;&gt;"",ROW(E$5:E$49)-ROW(E$5)+1),ROWS(E$5:E50))),"")</f>
        <v/>
      </c>
      <c r="N49" s="84" t="str">
        <f t="shared" si="0"/>
        <v/>
      </c>
      <c r="O49" s="85" t="str">
        <f t="shared" si="1"/>
        <v xml:space="preserve"> </v>
      </c>
    </row>
  </sheetData>
  <protectedRanges>
    <protectedRange sqref="E13:E49 A1:A49 E10:E11 B10:D49 F10:J49 B1:J9" name="Range1"/>
  </protectedRanges>
  <mergeCells count="1">
    <mergeCell ref="A1:J1"/>
  </mergeCells>
  <pageMargins left="0.7" right="0.7" top="0.75" bottom="0.75" header="0.3" footer="0.3"/>
  <pageSetup paperSize="9" scale="54"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3:Y4"/>
  <sheetViews>
    <sheetView topLeftCell="A4" zoomScale="120" zoomScaleNormal="120" workbookViewId="0">
      <selection activeCell="W4" sqref="W4"/>
    </sheetView>
  </sheetViews>
  <sheetFormatPr defaultColWidth="8.54296875" defaultRowHeight="14.5" x14ac:dyDescent="0.35"/>
  <cols>
    <col min="1" max="3" width="8.54296875" style="52"/>
    <col min="4" max="4" width="17.54296875" style="51" customWidth="1"/>
    <col min="5" max="5" width="11" style="52" customWidth="1"/>
    <col min="6" max="6" width="13.453125" style="52" customWidth="1"/>
    <col min="7" max="7" width="12.54296875" style="52" customWidth="1"/>
    <col min="8" max="8" width="14.453125" style="52" customWidth="1"/>
    <col min="9" max="9" width="12.54296875" style="52" customWidth="1"/>
    <col min="10" max="10" width="36.54296875" style="52" bestFit="1" customWidth="1"/>
    <col min="11" max="11" width="18.453125" style="52" customWidth="1"/>
    <col min="12" max="12" width="18.54296875" style="52" customWidth="1"/>
    <col min="13" max="13" width="13.453125" style="52" customWidth="1"/>
    <col min="14" max="14" width="16.54296875" style="52" customWidth="1"/>
    <col min="15" max="15" width="16.453125" style="52" customWidth="1"/>
    <col min="16" max="16" width="20.453125" style="52" customWidth="1"/>
    <col min="17" max="17" width="18.54296875" style="52" customWidth="1"/>
    <col min="18" max="18" width="17.453125" style="52" customWidth="1"/>
    <col min="19" max="19" width="31.54296875" style="52" customWidth="1"/>
    <col min="20" max="20" width="41.54296875" style="52" customWidth="1"/>
    <col min="21" max="21" width="65.453125" style="52" customWidth="1"/>
    <col min="22" max="22" width="44.54296875" style="52" customWidth="1"/>
    <col min="23" max="23" width="44" style="52" customWidth="1"/>
    <col min="24" max="24" width="8.54296875" style="52"/>
    <col min="25" max="25" width="12.54296875" style="52" bestFit="1" customWidth="1"/>
    <col min="26" max="16384" width="8.54296875" style="52"/>
  </cols>
  <sheetData>
    <row r="3" spans="4:25" x14ac:dyDescent="0.35">
      <c r="D3" s="66" t="s">
        <v>72</v>
      </c>
      <c r="E3" s="67" t="s">
        <v>73</v>
      </c>
      <c r="F3" s="68" t="s">
        <v>74</v>
      </c>
      <c r="G3" s="67" t="s">
        <v>11</v>
      </c>
      <c r="H3" s="67" t="s">
        <v>75</v>
      </c>
      <c r="I3" s="67" t="s">
        <v>76</v>
      </c>
      <c r="J3" s="67" t="s">
        <v>77</v>
      </c>
      <c r="K3" s="67" t="s">
        <v>78</v>
      </c>
      <c r="L3" s="67" t="s">
        <v>79</v>
      </c>
      <c r="M3" s="67" t="s">
        <v>80</v>
      </c>
      <c r="N3" s="67" t="s">
        <v>81</v>
      </c>
      <c r="O3" s="67" t="s">
        <v>82</v>
      </c>
      <c r="P3" s="67" t="s">
        <v>83</v>
      </c>
      <c r="Q3" s="67" t="s">
        <v>84</v>
      </c>
      <c r="R3" s="67" t="s">
        <v>85</v>
      </c>
      <c r="S3" s="67" t="s">
        <v>86</v>
      </c>
      <c r="T3" s="67" t="s">
        <v>87</v>
      </c>
      <c r="U3" s="67" t="s">
        <v>88</v>
      </c>
      <c r="V3" s="69" t="s">
        <v>89</v>
      </c>
      <c r="W3" s="67" t="s">
        <v>90</v>
      </c>
      <c r="X3" s="67" t="s">
        <v>91</v>
      </c>
      <c r="Y3" s="67" t="s">
        <v>92</v>
      </c>
    </row>
    <row r="4" spans="4:25" ht="165" customHeight="1" x14ac:dyDescent="0.35">
      <c r="D4" s="70">
        <f>'IPS V4.1'!P8</f>
        <v>0</v>
      </c>
      <c r="E4" s="71" t="str">
        <f>IF(RIGHT(F4,SEARCH("-",F4,1)-1)="ID01","SPM",IF(RIGHT(F4,SEARCH("-",F4,1)-1)="ID02","SKM",IF(RIGHT(F4,SEARCH("-",F4,1)-1)="ID30","RRP","")))</f>
        <v>SPM</v>
      </c>
      <c r="F4" s="71" t="str">
        <f>'IPS V4.1'!P6</f>
        <v>LU21-ID01</v>
      </c>
      <c r="G4" s="71">
        <f>'IPS V4.1'!Q14</f>
        <v>0</v>
      </c>
      <c r="H4" s="71" t="str">
        <f>'IPS V4.1'!C14</f>
        <v/>
      </c>
      <c r="I4" s="71">
        <f>'IPS V4.1'!B19</f>
        <v>0</v>
      </c>
      <c r="J4" s="72">
        <f>'IPS V4.1'!P19</f>
        <v>0</v>
      </c>
      <c r="K4" s="73" t="str">
        <f>IF('IPS V4.1'!B26="","",'IPS V4.1'!B26)</f>
        <v/>
      </c>
      <c r="L4" s="73" t="str">
        <f>IF('IPS V4.1'!R26="","",'IPS V4.1'!R26)</f>
        <v/>
      </c>
      <c r="M4" s="73" t="str">
        <f>IF('IPS V4.1'!B39="","",'IPS V4.1'!B39)</f>
        <v/>
      </c>
      <c r="N4" s="73" t="str">
        <f>IF('IPS V4.1'!R39="","",'IPS V4.1'!R39)</f>
        <v/>
      </c>
      <c r="O4" s="73" t="str">
        <f>IF('IPS V4.1'!B45="","",'IPS V4.1'!B45)</f>
        <v/>
      </c>
      <c r="P4" s="73" t="str">
        <f>IF('IPS V4.1'!R45="","",'IPS V4.1'!R45)</f>
        <v/>
      </c>
      <c r="Q4" s="73" t="str">
        <f>IF('IPS V4.1'!B51="","",'IPS V4.1'!B51)</f>
        <v/>
      </c>
      <c r="R4" s="73" t="str">
        <f>IF('IPS V4.1'!R51="","",'IPS V4.1'!R51)</f>
        <v/>
      </c>
      <c r="S4" s="73" t="str">
        <f>IF('IPS V4.1'!B57="","",'IPS V4.1'!B57)</f>
        <v/>
      </c>
      <c r="T4" s="73" t="str">
        <f>'IPS V4.1'!M66&amp;CHAR(10)&amp;'IPS V4.1'!M68&amp;CHAR(10)&amp;'IPS V4.1'!M70&amp;CHAR(10)&amp;'IPS V4.1'!M72&amp;CHAR(10)&amp;'IPS V4.1'!M74&amp;CHAR(10)&amp;'IPS V4.1'!M76&amp;CHAR(10)&amp;'IPS V4.1'!M78</f>
        <v xml:space="preserve">
</v>
      </c>
      <c r="U4" s="73" t="str">
        <f>'IPS V4.1'!T66&amp;CHAR(10)&amp;'IPS V4.1'!T68&amp;CHAR(10)&amp;'IPS V4.1'!T70&amp;CHAR(10)&amp;'IPS V4.1'!T72&amp;CHAR(10)&amp;'IPS V4.1'!T74&amp;CHAR(10)&amp;'IPS V4.1'!T76&amp;CHAR(10)&amp;'IPS V4.1'!T78</f>
        <v xml:space="preserve">
</v>
      </c>
      <c r="V4" s="74" t="str">
        <f>'IPS V4.1'!AM88</f>
        <v/>
      </c>
      <c r="W4" s="74" t="str">
        <f>'BCC List'!Q2</f>
        <v xml:space="preserve"> 
 </v>
      </c>
      <c r="X4" s="86" t="str">
        <f>IF('IPS V4.1'!BH88="","",'IPS V4.1'!BH88)</f>
        <v/>
      </c>
      <c r="Y4" s="117">
        <f>SUM('Cost Impact Calculator'!B28:B30)</f>
        <v>0</v>
      </c>
    </row>
  </sheetData>
  <sheetProtection algorithmName="SHA-512" hashValue="EZRNNROmBr3cqElhrVgrzkw0J2iK3PbpR/nITtPp0krmDc6y9R0N635557+7Cu/iWDVCHz2cf+vGwk21NZVhDw==" saltValue="Ga07gcGCOQtjL7u7ZLzX3Q=="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5:E6"/>
  <sheetViews>
    <sheetView topLeftCell="A10" workbookViewId="0">
      <selection activeCell="E5" sqref="E5"/>
    </sheetView>
  </sheetViews>
  <sheetFormatPr defaultColWidth="8.81640625" defaultRowHeight="14.5" x14ac:dyDescent="0.35"/>
  <cols>
    <col min="1" max="4" width="8.81640625" style="52"/>
    <col min="5" max="5" width="33.453125" style="52" customWidth="1"/>
    <col min="6" max="16384" width="8.81640625" style="52"/>
  </cols>
  <sheetData>
    <row r="5" spans="5:5" x14ac:dyDescent="0.35">
      <c r="E5" s="123" t="s">
        <v>139</v>
      </c>
    </row>
    <row r="6" spans="5:5" x14ac:dyDescent="0.35">
      <c r="E6" s="124">
        <f>'IPS V4.1'!X14</f>
        <v>0</v>
      </c>
    </row>
  </sheetData>
  <sheetProtection algorithmName="SHA-512" hashValue="nzqca7W3en6ku2rV7WlaN5PZbrAvIPmrWDYl806eiYEX4VA5hkjHdtblZu/CQ3Te584BAxQjiOgxp66SipZUPA==" saltValue="xLt6oxVMjLd28owsogWCkw=="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1"/>
  <sheetViews>
    <sheetView topLeftCell="A3" zoomScale="77" workbookViewId="0">
      <selection activeCell="N22" sqref="N22"/>
    </sheetView>
  </sheetViews>
  <sheetFormatPr defaultRowHeight="14.5" x14ac:dyDescent="0.35"/>
  <cols>
    <col min="1" max="1" width="14.54296875" bestFit="1" customWidth="1"/>
    <col min="2" max="2" width="21.453125" style="87" bestFit="1" customWidth="1"/>
    <col min="3" max="3" width="10.453125" bestFit="1" customWidth="1"/>
    <col min="5" max="5" width="12.54296875" customWidth="1"/>
    <col min="6" max="6" width="10" customWidth="1"/>
    <col min="7" max="7" width="10.54296875" customWidth="1"/>
  </cols>
  <sheetData>
    <row r="1" spans="1:9" ht="23.5" x14ac:dyDescent="0.55000000000000004">
      <c r="A1" s="105" t="s">
        <v>93</v>
      </c>
    </row>
    <row r="2" spans="1:9" x14ac:dyDescent="0.35">
      <c r="A2" s="264" t="s">
        <v>94</v>
      </c>
      <c r="B2" s="265"/>
      <c r="C2" s="266"/>
      <c r="D2" s="97"/>
      <c r="E2" s="267" t="s">
        <v>95</v>
      </c>
      <c r="F2" s="268"/>
      <c r="G2" s="268"/>
      <c r="H2" s="268"/>
      <c r="I2" s="268"/>
    </row>
    <row r="3" spans="1:9" x14ac:dyDescent="0.35">
      <c r="A3" s="92" t="s">
        <v>96</v>
      </c>
      <c r="B3" s="93" t="s">
        <v>97</v>
      </c>
      <c r="C3" s="92" t="s">
        <v>98</v>
      </c>
      <c r="D3" s="97"/>
      <c r="E3" s="95" t="s">
        <v>96</v>
      </c>
      <c r="F3" s="95" t="s">
        <v>99</v>
      </c>
      <c r="G3" s="95" t="s">
        <v>100</v>
      </c>
      <c r="H3" s="92" t="s">
        <v>98</v>
      </c>
      <c r="I3" s="109" t="s">
        <v>101</v>
      </c>
    </row>
    <row r="4" spans="1:9" x14ac:dyDescent="0.35">
      <c r="A4" s="94" t="s">
        <v>102</v>
      </c>
      <c r="B4" s="98">
        <v>30364426.780000001</v>
      </c>
      <c r="C4" s="99">
        <v>16</v>
      </c>
      <c r="E4" s="96" t="s">
        <v>102</v>
      </c>
      <c r="F4" s="100">
        <v>10.67</v>
      </c>
      <c r="G4" s="100">
        <f t="shared" ref="G4:G26" si="0">H4*I4</f>
        <v>320.32</v>
      </c>
      <c r="H4" s="99">
        <v>16</v>
      </c>
      <c r="I4" s="100">
        <v>20.02</v>
      </c>
    </row>
    <row r="5" spans="1:9" x14ac:dyDescent="0.35">
      <c r="A5" s="94" t="s">
        <v>103</v>
      </c>
      <c r="B5" s="98">
        <v>19205852.59</v>
      </c>
      <c r="C5" s="99">
        <v>20</v>
      </c>
      <c r="E5" s="96" t="s">
        <v>103</v>
      </c>
      <c r="F5" s="100">
        <v>8.5</v>
      </c>
      <c r="G5" s="100">
        <f t="shared" si="0"/>
        <v>484</v>
      </c>
      <c r="H5" s="99">
        <v>20</v>
      </c>
      <c r="I5" s="100">
        <v>24.2</v>
      </c>
    </row>
    <row r="6" spans="1:9" x14ac:dyDescent="0.35">
      <c r="A6" s="94" t="s">
        <v>104</v>
      </c>
      <c r="B6" s="98">
        <v>29521194.84</v>
      </c>
      <c r="C6" s="99">
        <v>16</v>
      </c>
      <c r="E6" s="96" t="s">
        <v>104</v>
      </c>
      <c r="F6" s="100">
        <v>10.67</v>
      </c>
      <c r="G6" s="100">
        <f t="shared" si="0"/>
        <v>320.32</v>
      </c>
      <c r="H6" s="99">
        <v>16</v>
      </c>
      <c r="I6" s="100">
        <v>20.02</v>
      </c>
    </row>
    <row r="7" spans="1:9" x14ac:dyDescent="0.35">
      <c r="A7" s="94" t="s">
        <v>105</v>
      </c>
      <c r="B7" s="98">
        <v>18012650.940000001</v>
      </c>
      <c r="C7" s="99">
        <v>16</v>
      </c>
      <c r="E7" s="96" t="s">
        <v>105</v>
      </c>
      <c r="F7" s="100">
        <v>10.67</v>
      </c>
      <c r="G7" s="100">
        <f t="shared" si="0"/>
        <v>320.32</v>
      </c>
      <c r="H7" s="99">
        <v>16</v>
      </c>
      <c r="I7" s="100">
        <v>20.02</v>
      </c>
    </row>
    <row r="8" spans="1:9" x14ac:dyDescent="0.35">
      <c r="A8" s="94" t="s">
        <v>106</v>
      </c>
      <c r="B8" s="98">
        <v>29337262.280000001</v>
      </c>
      <c r="C8" s="99">
        <v>16</v>
      </c>
      <c r="E8" s="96" t="s">
        <v>106</v>
      </c>
      <c r="F8" s="100">
        <v>10.67</v>
      </c>
      <c r="G8" s="100">
        <f t="shared" si="0"/>
        <v>320.32</v>
      </c>
      <c r="H8" s="99">
        <v>16</v>
      </c>
      <c r="I8" s="100">
        <v>20.02</v>
      </c>
    </row>
    <row r="9" spans="1:9" x14ac:dyDescent="0.35">
      <c r="A9" s="94" t="s">
        <v>107</v>
      </c>
      <c r="B9" s="98">
        <v>20003957.77</v>
      </c>
      <c r="C9" s="99">
        <v>10</v>
      </c>
      <c r="E9" s="96" t="s">
        <v>107</v>
      </c>
      <c r="F9" s="100">
        <v>12.36</v>
      </c>
      <c r="G9" s="100">
        <f t="shared" si="0"/>
        <v>263.8</v>
      </c>
      <c r="H9" s="99">
        <v>10</v>
      </c>
      <c r="I9" s="100">
        <v>26.38</v>
      </c>
    </row>
    <row r="10" spans="1:9" x14ac:dyDescent="0.35">
      <c r="A10" s="94" t="s">
        <v>4</v>
      </c>
      <c r="B10" s="98">
        <v>20224688.289999999</v>
      </c>
      <c r="C10" s="99">
        <v>10</v>
      </c>
      <c r="E10" s="96" t="s">
        <v>4</v>
      </c>
      <c r="F10" s="100">
        <v>12.36</v>
      </c>
      <c r="G10" s="100">
        <f t="shared" si="0"/>
        <v>263.8</v>
      </c>
      <c r="H10" s="99">
        <v>10</v>
      </c>
      <c r="I10" s="100">
        <v>26.38</v>
      </c>
    </row>
    <row r="11" spans="1:9" x14ac:dyDescent="0.35">
      <c r="A11" s="94" t="s">
        <v>108</v>
      </c>
      <c r="B11" s="98">
        <v>23925753.77</v>
      </c>
      <c r="C11" s="99">
        <v>16</v>
      </c>
      <c r="E11" s="96" t="s">
        <v>108</v>
      </c>
      <c r="F11" s="100">
        <v>10.67</v>
      </c>
      <c r="G11" s="100">
        <f t="shared" si="0"/>
        <v>320.32</v>
      </c>
      <c r="H11" s="99">
        <v>16</v>
      </c>
      <c r="I11" s="100">
        <v>20.02</v>
      </c>
    </row>
    <row r="12" spans="1:9" x14ac:dyDescent="0.35">
      <c r="A12" s="94" t="s">
        <v>109</v>
      </c>
      <c r="B12" s="98">
        <v>18512971.530000001</v>
      </c>
      <c r="C12" s="99">
        <v>16</v>
      </c>
      <c r="E12" s="96" t="s">
        <v>109</v>
      </c>
      <c r="F12" s="100">
        <v>10.67</v>
      </c>
      <c r="G12" s="100">
        <f t="shared" si="0"/>
        <v>320.32</v>
      </c>
      <c r="H12" s="99">
        <v>16</v>
      </c>
      <c r="I12" s="100">
        <v>20.02</v>
      </c>
    </row>
    <row r="13" spans="1:9" x14ac:dyDescent="0.35">
      <c r="A13" s="94" t="s">
        <v>110</v>
      </c>
      <c r="B13" s="98">
        <v>28230114.739999998</v>
      </c>
      <c r="C13" s="99">
        <v>16</v>
      </c>
      <c r="E13" s="96" t="s">
        <v>110</v>
      </c>
      <c r="F13" s="100">
        <v>10.67</v>
      </c>
      <c r="G13" s="100">
        <f t="shared" si="0"/>
        <v>320.32</v>
      </c>
      <c r="H13" s="99">
        <v>16</v>
      </c>
      <c r="I13" s="100">
        <v>20.02</v>
      </c>
    </row>
    <row r="14" spans="1:9" x14ac:dyDescent="0.35">
      <c r="A14" s="94" t="s">
        <v>111</v>
      </c>
      <c r="B14" s="98">
        <v>11530581.25</v>
      </c>
      <c r="C14" s="99">
        <v>20</v>
      </c>
      <c r="E14" s="96" t="s">
        <v>111</v>
      </c>
      <c r="F14" s="100">
        <v>10.9</v>
      </c>
      <c r="G14" s="100">
        <f t="shared" si="0"/>
        <v>402</v>
      </c>
      <c r="H14" s="99">
        <v>20</v>
      </c>
      <c r="I14" s="100">
        <v>20.100000000000001</v>
      </c>
    </row>
    <row r="15" spans="1:9" x14ac:dyDescent="0.35">
      <c r="A15" s="94" t="s">
        <v>112</v>
      </c>
      <c r="B15" s="98">
        <v>17298597.030000001</v>
      </c>
      <c r="C15" s="99">
        <v>20</v>
      </c>
      <c r="E15" s="96" t="s">
        <v>112</v>
      </c>
      <c r="F15" s="100">
        <v>46.2</v>
      </c>
      <c r="G15" s="100">
        <f t="shared" si="0"/>
        <v>1202</v>
      </c>
      <c r="H15" s="99">
        <v>20</v>
      </c>
      <c r="I15" s="100">
        <v>60.1</v>
      </c>
    </row>
    <row r="16" spans="1:9" x14ac:dyDescent="0.35">
      <c r="A16" s="94" t="s">
        <v>113</v>
      </c>
      <c r="B16" s="98">
        <v>22467951.969999999</v>
      </c>
      <c r="C16" s="99">
        <v>20</v>
      </c>
      <c r="E16" s="96" t="s">
        <v>113</v>
      </c>
      <c r="F16" s="100">
        <v>22.4</v>
      </c>
      <c r="G16" s="100">
        <f t="shared" si="0"/>
        <v>692</v>
      </c>
      <c r="H16" s="99">
        <v>20</v>
      </c>
      <c r="I16" s="100">
        <v>34.6</v>
      </c>
    </row>
    <row r="17" spans="1:9" x14ac:dyDescent="0.35">
      <c r="A17" s="94" t="s">
        <v>114</v>
      </c>
      <c r="B17" s="98">
        <v>32190165.18</v>
      </c>
      <c r="C17" s="99">
        <v>20</v>
      </c>
      <c r="E17" s="96" t="s">
        <v>114</v>
      </c>
      <c r="F17" s="100">
        <v>46.2</v>
      </c>
      <c r="G17" s="100">
        <f t="shared" si="0"/>
        <v>1202</v>
      </c>
      <c r="H17" s="99">
        <v>20</v>
      </c>
      <c r="I17" s="100">
        <v>60.1</v>
      </c>
    </row>
    <row r="18" spans="1:9" x14ac:dyDescent="0.35">
      <c r="A18" s="94" t="s">
        <v>115</v>
      </c>
      <c r="B18" s="98">
        <v>21462193.670000002</v>
      </c>
      <c r="C18" s="99">
        <v>25</v>
      </c>
      <c r="E18" s="96" t="s">
        <v>115</v>
      </c>
      <c r="F18" s="100">
        <v>10.7</v>
      </c>
      <c r="G18" s="100">
        <f t="shared" si="0"/>
        <v>670</v>
      </c>
      <c r="H18" s="99">
        <v>25</v>
      </c>
      <c r="I18" s="100">
        <v>26.8</v>
      </c>
    </row>
    <row r="19" spans="1:9" x14ac:dyDescent="0.35">
      <c r="A19" s="94" t="s">
        <v>116</v>
      </c>
      <c r="B19" s="98">
        <v>7063050.7199999997</v>
      </c>
      <c r="C19" s="99">
        <v>20</v>
      </c>
      <c r="E19" s="96" t="s">
        <v>116</v>
      </c>
      <c r="F19" s="100">
        <v>28</v>
      </c>
      <c r="G19" s="100">
        <f t="shared" si="0"/>
        <v>994</v>
      </c>
      <c r="H19" s="99">
        <v>20</v>
      </c>
      <c r="I19" s="100">
        <v>49.7</v>
      </c>
    </row>
    <row r="20" spans="1:9" x14ac:dyDescent="0.35">
      <c r="A20" s="94" t="s">
        <v>117</v>
      </c>
      <c r="B20" s="98">
        <v>22058916.629999999</v>
      </c>
      <c r="C20" s="99">
        <v>20</v>
      </c>
      <c r="E20" s="96" t="s">
        <v>117</v>
      </c>
      <c r="F20" s="100">
        <v>10.9</v>
      </c>
      <c r="G20" s="100">
        <f t="shared" si="0"/>
        <v>402</v>
      </c>
      <c r="H20" s="99">
        <v>20</v>
      </c>
      <c r="I20" s="100">
        <v>20.100000000000001</v>
      </c>
    </row>
    <row r="21" spans="1:9" x14ac:dyDescent="0.35">
      <c r="A21" s="94" t="s">
        <v>118</v>
      </c>
      <c r="B21" s="98">
        <v>22094673.399999999</v>
      </c>
      <c r="C21" s="99">
        <v>20</v>
      </c>
      <c r="E21" s="96" t="s">
        <v>118</v>
      </c>
      <c r="F21" s="100">
        <v>13.8</v>
      </c>
      <c r="G21" s="100">
        <f t="shared" si="0"/>
        <v>484</v>
      </c>
      <c r="H21" s="99">
        <v>20</v>
      </c>
      <c r="I21" s="100">
        <v>24.2</v>
      </c>
    </row>
    <row r="22" spans="1:9" x14ac:dyDescent="0.35">
      <c r="A22" s="94" t="s">
        <v>137</v>
      </c>
      <c r="B22" s="98">
        <v>18915706.07</v>
      </c>
      <c r="C22" s="99">
        <v>20</v>
      </c>
      <c r="E22" s="94" t="s">
        <v>137</v>
      </c>
      <c r="F22" s="100">
        <v>13.8</v>
      </c>
      <c r="G22" s="100">
        <f>H22*I22</f>
        <v>484</v>
      </c>
      <c r="H22" s="99">
        <v>20</v>
      </c>
      <c r="I22" s="100">
        <v>24.2</v>
      </c>
    </row>
    <row r="23" spans="1:9" x14ac:dyDescent="0.35">
      <c r="A23" s="94" t="s">
        <v>119</v>
      </c>
      <c r="B23" s="98">
        <v>18915706.07</v>
      </c>
      <c r="C23" s="99">
        <v>20</v>
      </c>
      <c r="E23" s="96" t="s">
        <v>119</v>
      </c>
      <c r="F23" s="100">
        <v>13.8</v>
      </c>
      <c r="G23" s="100">
        <f t="shared" si="0"/>
        <v>484</v>
      </c>
      <c r="H23" s="99">
        <v>20</v>
      </c>
      <c r="I23" s="100">
        <v>24.2</v>
      </c>
    </row>
    <row r="24" spans="1:9" x14ac:dyDescent="0.35">
      <c r="A24" s="94" t="s">
        <v>120</v>
      </c>
      <c r="B24" s="98">
        <v>12349067.289999999</v>
      </c>
      <c r="C24" s="99">
        <v>35</v>
      </c>
      <c r="E24" s="96" t="s">
        <v>120</v>
      </c>
      <c r="F24" s="100">
        <v>20.3</v>
      </c>
      <c r="G24" s="100">
        <f t="shared" si="0"/>
        <v>1137.5</v>
      </c>
      <c r="H24" s="99">
        <v>35</v>
      </c>
      <c r="I24" s="100">
        <v>32.5</v>
      </c>
    </row>
    <row r="25" spans="1:9" x14ac:dyDescent="0.35">
      <c r="A25" s="94" t="s">
        <v>121</v>
      </c>
      <c r="B25" s="98">
        <v>11042981.66</v>
      </c>
      <c r="C25" s="99">
        <v>20</v>
      </c>
      <c r="E25" s="96" t="s">
        <v>122</v>
      </c>
      <c r="F25" s="100">
        <v>15.3</v>
      </c>
      <c r="G25" s="100">
        <f t="shared" si="0"/>
        <v>624</v>
      </c>
      <c r="H25" s="99">
        <v>20</v>
      </c>
      <c r="I25" s="100">
        <v>31.2</v>
      </c>
    </row>
    <row r="26" spans="1:9" x14ac:dyDescent="0.35">
      <c r="A26" s="94" t="s">
        <v>123</v>
      </c>
      <c r="B26" s="98">
        <v>57886242.659999996</v>
      </c>
      <c r="C26" s="99">
        <v>20</v>
      </c>
      <c r="E26" s="96" t="s">
        <v>123</v>
      </c>
      <c r="F26" s="100">
        <v>10.9</v>
      </c>
      <c r="G26" s="100">
        <f t="shared" si="0"/>
        <v>402</v>
      </c>
      <c r="H26" s="99">
        <v>20</v>
      </c>
      <c r="I26" s="100">
        <v>20.100000000000001</v>
      </c>
    </row>
    <row r="28" spans="1:9" ht="21" x14ac:dyDescent="0.35">
      <c r="A28" s="104" t="str">
        <f>'IPS V4.1'!P6</f>
        <v>LU21-ID01</v>
      </c>
      <c r="B28" s="106" t="str">
        <f>IF('IPS V4.1'!C14="D",'IPS V4.1'!X148*VLOOKUP(A28,A2:C26,2,FALSE)*VLOOKUP(A28,A2:C26,3,FALSE)*20160/525600,"")</f>
        <v/>
      </c>
      <c r="C28" s="101" t="s">
        <v>124</v>
      </c>
    </row>
    <row r="29" spans="1:9" ht="21" x14ac:dyDescent="0.35">
      <c r="B29" s="107" t="str">
        <f>IF(AND('IPS V4.1'!C14="C",OR('IPS V4.1'!Q14="GD121",'IPS V4.1'!Q14="PM100",'IPS V4.1'!Q14="M8")),'IPS V4.1'!X150*VLOOKUP(A28,E4:G26,2,FALSE),IF(AND('IPS V4.1'!C14="C",OR('IPS V4.1'!Q14&lt;&gt;"GD121",'IPS V4.1'!Q14="PM100",'IPS V4.1'!Q14="M8")),'IPS V4.1'!X150*VLOOKUP(A28,E4:G26,3,FALSE),""))</f>
        <v/>
      </c>
      <c r="C29" s="102" t="s">
        <v>8</v>
      </c>
    </row>
    <row r="30" spans="1:9" ht="21" x14ac:dyDescent="0.35">
      <c r="B30" s="118">
        <f>'IPS V4.1'!X152</f>
        <v>0</v>
      </c>
      <c r="C30" s="119" t="s">
        <v>125</v>
      </c>
    </row>
    <row r="31" spans="1:9" ht="21" x14ac:dyDescent="0.5">
      <c r="B31" s="108">
        <f>VLOOKUP(A28,A2:C26,3,FALSE)</f>
        <v>20</v>
      </c>
      <c r="C31" s="103" t="s">
        <v>98</v>
      </c>
    </row>
  </sheetData>
  <sheetProtection algorithmName="SHA-512" hashValue="9+tAKtdYSUzVTDrLjNbIdLYQIIAQLJK4Fqi64W0kgDZQF24SKBLn4M6klmmoPi3M0K2+I95GdrfDDDUgndNcHw==" saltValue="je0ie1dBqmuxS4+RZFqVhg==" spinCount="100000" sheet="1" objects="1" scenarios="1"/>
  <mergeCells count="2">
    <mergeCell ref="A2:C2"/>
    <mergeCell ref="E2:I2"/>
  </mergeCells>
  <phoneticPr fontId="5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0812664-53fa-4bf5-9e9a-404d5bbffd14">
      <Terms xmlns="http://schemas.microsoft.com/office/infopath/2007/PartnerControls"/>
    </lcf76f155ced4ddcb4097134ff3c332f>
    <TaxCatchAll xmlns="80a8e328-e59c-4a6b-b00a-ef433ea791d7" xsi:nil="true"/>
    <SharedWithUsers xmlns="80a8e328-e59c-4a6b-b00a-ef433ea791d7">
      <UserInfo>
        <DisplayName>Aryani, Dini</DisplayName>
        <AccountId>90</AccountId>
        <AccountType/>
      </UserInfo>
      <UserInfo>
        <DisplayName>Wibowo, Arif</DisplayName>
        <AccountId>154</AccountId>
        <AccountType/>
      </UserInfo>
      <UserInfo>
        <DisplayName>Hidayat, Dedy</DisplayName>
        <AccountId>24</AccountId>
        <AccountType/>
      </UserInfo>
      <UserInfo>
        <DisplayName>Sobari, Ahmad</DisplayName>
        <AccountId>133</AccountId>
        <AccountType/>
      </UserInfo>
      <UserInfo>
        <DisplayName>Tabarok, Ikhsan Jamal</DisplayName>
        <AccountId>193</AccountId>
        <AccountType/>
      </UserInfo>
      <UserInfo>
        <DisplayName>Surya, Muhammad Perdana</DisplayName>
        <AccountId>450</AccountId>
        <AccountType/>
      </UserInfo>
      <UserInfo>
        <DisplayName>Gunantoyo, Bowo</DisplayName>
        <AccountId>206</AccountId>
        <AccountType/>
      </UserInfo>
      <UserInfo>
        <DisplayName>Wijaya, Joan Christie</DisplayName>
        <AccountId>376</AccountId>
        <AccountType/>
      </UserInfo>
      <UserInfo>
        <DisplayName>Kurniawan, Feri (SAMPOERNA Tbk.)</DisplayName>
        <AccountId>610</AccountId>
        <AccountType/>
      </UserInfo>
      <UserInfo>
        <DisplayName>Kurniarso, Achmad</DisplayName>
        <AccountId>212</AccountId>
        <AccountType/>
      </UserInfo>
      <UserInfo>
        <DisplayName>Raharto, Thomas Dian</DisplayName>
        <AccountId>196</AccountId>
        <AccountType/>
      </UserInfo>
      <UserInfo>
        <DisplayName>Putra, Ardi</DisplayName>
        <AccountId>150</AccountId>
        <AccountType/>
      </UserInfo>
      <UserInfo>
        <DisplayName>Raharjo, Sugeng</DisplayName>
        <AccountId>173</AccountId>
        <AccountType/>
      </UserInfo>
      <UserInfo>
        <DisplayName>William, Kevin</DisplayName>
        <AccountId>1080</AccountId>
        <AccountType/>
      </UserInfo>
      <UserInfo>
        <DisplayName>Julianti, Evita</DisplayName>
        <AccountId>1564</AccountId>
        <AccountType/>
      </UserInfo>
      <UserInfo>
        <DisplayName>Sugiharto, Prayudha Prihatmoko</DisplayName>
        <AccountId>23</AccountId>
        <AccountType/>
      </UserInfo>
      <UserInfo>
        <DisplayName>Ardiansyah, Irvan Nur</DisplayName>
        <AccountId>116</AccountId>
        <AccountType/>
      </UserInfo>
      <UserInfo>
        <DisplayName>Saprudin, Uus</DisplayName>
        <AccountId>39</AccountId>
        <AccountType/>
      </UserInfo>
      <UserInfo>
        <DisplayName>Pratiwi, Endah</DisplayName>
        <AccountId>65</AccountId>
        <AccountType/>
      </UserInfo>
      <UserInfo>
        <DisplayName>Ichsan, Nur Muhammad</DisplayName>
        <AccountId>2882</AccountId>
        <AccountType/>
      </UserInfo>
      <UserInfo>
        <DisplayName>Putri, Sylvania</DisplayName>
        <AccountId>42</AccountId>
        <AccountType/>
      </UserInfo>
      <UserInfo>
        <DisplayName>Pranoto, Cecillia</DisplayName>
        <AccountId>205</AccountId>
        <AccountType/>
      </UserInfo>
      <UserInfo>
        <DisplayName>Mochamad, Willy</DisplayName>
        <AccountId>94</AccountId>
        <AccountType/>
      </UserInfo>
      <UserInfo>
        <DisplayName>Simangunsong, Debby</DisplayName>
        <AccountId>80</AccountId>
        <AccountType/>
      </UserInfo>
      <UserInfo>
        <DisplayName>Wibowo, Eko Tiyen Wahyu</DisplayName>
        <AccountId>68</AccountId>
        <AccountType/>
      </UserInfo>
      <UserInfo>
        <DisplayName>Purwanto, Oktani Rendra</DisplayName>
        <AccountId>239</AccountId>
        <AccountType/>
      </UserInfo>
      <UserInfo>
        <DisplayName>Immanuel, Evans</DisplayName>
        <AccountId>227</AccountId>
        <AccountType/>
      </UserInfo>
      <UserInfo>
        <DisplayName>Amalia, Esti Nur</DisplayName>
        <AccountId>435</AccountId>
        <AccountType/>
      </UserInfo>
      <UserInfo>
        <DisplayName>Chandra, Genesius</DisplayName>
        <AccountId>20</AccountId>
        <AccountType/>
      </UserInfo>
      <UserInfo>
        <DisplayName>Narulita, Narulita</DisplayName>
        <AccountId>2007</AccountId>
        <AccountType/>
      </UserInfo>
      <UserInfo>
        <DisplayName>Wicaksono, Adhimas Sulistyo</DisplayName>
        <AccountId>274</AccountId>
        <AccountType/>
      </UserInfo>
      <UserInfo>
        <DisplayName>Sekali, Syahril Arapenta Karo</DisplayName>
        <AccountId>200</AccountId>
        <AccountType/>
      </UserInfo>
      <UserInfo>
        <DisplayName>Susilo, Eko</DisplayName>
        <AccountId>209</AccountId>
        <AccountType/>
      </UserInfo>
      <UserInfo>
        <DisplayName>Zulianti, Zulianti</DisplayName>
        <AccountId>203</AccountId>
        <AccountType/>
      </UserInfo>
      <UserInfo>
        <DisplayName>Eresta Jaya, Jupiter</DisplayName>
        <AccountId>211</AccountId>
        <AccountType/>
      </UserInfo>
      <UserInfo>
        <DisplayName>Wijaya, Miranda Maya</DisplayName>
        <AccountId>155</AccountId>
        <AccountType/>
      </UserInfo>
      <UserInfo>
        <DisplayName>Usili, Stefanus</DisplayName>
        <AccountId>25</AccountId>
        <AccountType/>
      </UserInfo>
      <UserInfo>
        <DisplayName>Raharja, Danu</DisplayName>
        <AccountId>112</AccountId>
        <AccountType/>
      </UserInfo>
      <UserInfo>
        <DisplayName>Glory, Eternity</DisplayName>
        <AccountId>166</AccountId>
        <AccountType/>
      </UserInfo>
      <UserInfo>
        <DisplayName>Slamet, Edy Rudiyanto Bin</DisplayName>
        <AccountId>367</AccountId>
        <AccountType/>
      </UserInfo>
      <UserInfo>
        <DisplayName>Sutanto, Laura</DisplayName>
        <AccountId>103</AccountId>
        <AccountType/>
      </UserInfo>
      <UserInfo>
        <DisplayName>Mufid, Mufid</DisplayName>
        <AccountId>140</AccountId>
        <AccountType/>
      </UserInfo>
      <UserInfo>
        <DisplayName>Habibi, Ahmad</DisplayName>
        <AccountId>368</AccountId>
        <AccountType/>
      </UserInfo>
      <UserInfo>
        <DisplayName>Maulana, Hilman</DisplayName>
        <AccountId>145</AccountId>
        <AccountType/>
      </UserInfo>
      <UserInfo>
        <DisplayName>Rohim, Abdur</DisplayName>
        <AccountId>139</AccountId>
        <AccountType/>
      </UserInfo>
      <UserInfo>
        <DisplayName>Natasha, Ria</DisplayName>
        <AccountId>628</AccountId>
        <AccountType/>
      </UserInfo>
      <UserInfo>
        <DisplayName>Hanna, Elia</DisplayName>
        <AccountId>46</AccountId>
        <AccountType/>
      </UserInfo>
      <UserInfo>
        <DisplayName>Nurhayati, Rika</DisplayName>
        <AccountId>151</AccountId>
        <AccountType/>
      </UserInfo>
      <UserInfo>
        <DisplayName>Awaludin, Asep</DisplayName>
        <AccountId>2807</AccountId>
        <AccountType/>
      </UserInfo>
      <UserInfo>
        <DisplayName>Husein, Cecep Mahbub Zaeni</DisplayName>
        <AccountId>248</AccountId>
        <AccountType/>
      </UserInfo>
      <UserInfo>
        <DisplayName>Riady, Rahmad</DisplayName>
        <AccountId>256</AccountId>
        <AccountType/>
      </UserInfo>
      <UserInfo>
        <DisplayName>Anugrah, Karya Dwi</DisplayName>
        <AccountId>105</AccountId>
        <AccountType/>
      </UserInfo>
      <UserInfo>
        <DisplayName>Wibowo, Yudha Priyo</DisplayName>
        <AccountId>408</AccountId>
        <AccountType/>
      </UserInfo>
      <UserInfo>
        <DisplayName>Ikhsan, ikhsan</DisplayName>
        <AccountId>766</AccountId>
        <AccountType/>
      </UserInfo>
      <UserInfo>
        <DisplayName>Putrialuki, Rizka Martha</DisplayName>
        <AccountId>2591</AccountId>
        <AccountType/>
      </UserInfo>
      <UserInfo>
        <DisplayName>Suherman, Entus</DisplayName>
        <AccountId>1030</AccountId>
        <AccountType/>
      </UserInfo>
      <UserInfo>
        <DisplayName>Sari, Nur Maya</DisplayName>
        <AccountId>254</AccountId>
        <AccountType/>
      </UserInfo>
      <UserInfo>
        <DisplayName>Irsan, Rahmat Nurhadi</DisplayName>
        <AccountId>257</AccountId>
        <AccountType/>
      </UserInfo>
      <UserInfo>
        <DisplayName>Siregar, Gosen</DisplayName>
        <AccountId>2896</AccountId>
        <AccountType/>
      </UserInfo>
      <UserInfo>
        <DisplayName>Nurbait, Yusuf</DisplayName>
        <AccountId>1031</AccountId>
        <AccountType/>
      </UserInfo>
      <UserInfo>
        <DisplayName>Firdaus, Yulian Amin</DisplayName>
        <AccountId>131</AccountId>
        <AccountType/>
      </UserInfo>
      <UserInfo>
        <DisplayName>Aziz, Muhammad Farras</DisplayName>
        <AccountId>2014</AccountId>
        <AccountType/>
      </UserInfo>
      <UserInfo>
        <DisplayName>Rosadi, Rosadi</DisplayName>
        <AccountId>747</AccountId>
        <AccountType/>
      </UserInfo>
      <UserInfo>
        <DisplayName>Hamid, Hamid</DisplayName>
        <AccountId>286</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FB8A6406B69FE4E9BC9745DB97C7A70" ma:contentTypeVersion="19" ma:contentTypeDescription="Create a new document." ma:contentTypeScope="" ma:versionID="a9ce3b602e1461b43fe128746823218c">
  <xsd:schema xmlns:xsd="http://www.w3.org/2001/XMLSchema" xmlns:xs="http://www.w3.org/2001/XMLSchema" xmlns:p="http://schemas.microsoft.com/office/2006/metadata/properties" xmlns:ns2="c0812664-53fa-4bf5-9e9a-404d5bbffd14" xmlns:ns3="80a8e328-e59c-4a6b-b00a-ef433ea791d7" targetNamespace="http://schemas.microsoft.com/office/2006/metadata/properties" ma:root="true" ma:fieldsID="3ec18989d992071531d46473c970c6f0" ns2:_="" ns3:_="">
    <xsd:import namespace="c0812664-53fa-4bf5-9e9a-404d5bbffd14"/>
    <xsd:import namespace="80a8e328-e59c-4a6b-b00a-ef433ea791d7"/>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12664-53fa-4bf5-9e9a-404d5bbffd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150dd86-af7c-4119-8ddc-903a273d08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a8e328-e59c-4a6b-b00a-ef433ea791d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84c27fd-9f0c-4ef2-ac90-af1d3fbf4564}" ma:internalName="TaxCatchAll" ma:showField="CatchAllData" ma:web="80a8e328-e59c-4a6b-b00a-ef433ea791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5163C4-35BA-4D66-ABC1-42A94801BFC3}">
  <ds:schemaRefs>
    <ds:schemaRef ds:uri="http://purl.org/dc/elements/1.1/"/>
    <ds:schemaRef ds:uri="http://schemas.microsoft.com/office/infopath/2007/PartnerControls"/>
    <ds:schemaRef ds:uri="80a8e328-e59c-4a6b-b00a-ef433ea791d7"/>
    <ds:schemaRef ds:uri="http://purl.org/dc/terms/"/>
    <ds:schemaRef ds:uri="http://purl.org/dc/dcmitype/"/>
    <ds:schemaRef ds:uri="http://schemas.openxmlformats.org/package/2006/metadata/core-properties"/>
    <ds:schemaRef ds:uri="http://schemas.microsoft.com/office/2006/documentManagement/types"/>
    <ds:schemaRef ds:uri="c0812664-53fa-4bf5-9e9a-404d5bbffd14"/>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3E425810-C75B-4953-9B34-7F5C054C2E79}">
  <ds:schemaRefs>
    <ds:schemaRef ds:uri="http://schemas.microsoft.com/sharepoint/v3/contenttype/forms"/>
  </ds:schemaRefs>
</ds:datastoreItem>
</file>

<file path=customXml/itemProps3.xml><?xml version="1.0" encoding="utf-8"?>
<ds:datastoreItem xmlns:ds="http://schemas.openxmlformats.org/officeDocument/2006/customXml" ds:itemID="{D15A367C-8CC5-4AD3-8628-B072BCBADF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812664-53fa-4bf5-9e9a-404d5bbffd14"/>
    <ds:schemaRef ds:uri="80a8e328-e59c-4a6b-b00a-ef433ea791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b86a65e-3c3a-4406-8ac3-19a6b5cc52bc}" enabled="0" method="" siteId="{8b86a65e-3c3a-4406-8ac3-19a6b5cc52b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IPS V4.1</vt:lpstr>
      <vt:lpstr>BCC List</vt:lpstr>
      <vt:lpstr>Extraction</vt:lpstr>
      <vt:lpstr>LE Champion Tracking</vt:lpstr>
      <vt:lpstr>Cost Impact Calculator</vt:lpstr>
      <vt:lpstr>'BCC List'!Print_Area</vt:lpstr>
      <vt:lpstr>'IPS V4.1'!Print_Area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 IPS V2.0</dc:title>
  <dc:subject/>
  <dc:creator>Aiste, Klove</dc:creator>
  <cp:keywords/>
  <dc:description/>
  <cp:lastModifiedBy>Asus</cp:lastModifiedBy>
  <cp:revision/>
  <dcterms:created xsi:type="dcterms:W3CDTF">2019-11-12T13:22:12Z</dcterms:created>
  <dcterms:modified xsi:type="dcterms:W3CDTF">2026-04-02T01:36:16Z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0x010100FFB8A6406B69FE4E9BC9745DB97C7A70</vt:lpwstr>
  </property>
  <property fmtid="{D5CDD505-2E9C-101B-9397-08002B2CF9AE}" pid="3" name="MediaServiceImageTags">
    <vt:lpwstr/>
  </property>
</Properties>
</file>